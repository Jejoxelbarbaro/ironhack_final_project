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5480" windowHeight="11640"/>
  </bookViews>
  <sheets>
    <sheet name="4t18_acum" sheetId="5" r:id="rId1"/>
    <sheet name="3t18_acum" sheetId="4" r:id="rId2"/>
    <sheet name="2t18_acum" sheetId="3" r:id="rId3"/>
    <sheet name="1t18_acum" sheetId="2" r:id="rId4"/>
  </sheets>
  <definedNames>
    <definedName name="_xlnm._FilterDatabase" localSheetId="3" hidden="1">'1t18_acum'!$A$5:$F$216</definedName>
    <definedName name="_xlnm._FilterDatabase" localSheetId="2" hidden="1">'2t18_acum'!$A$5:$F$216</definedName>
    <definedName name="_xlnm._FilterDatabase" localSheetId="1" hidden="1">'3t18_acum'!$A$5:$F$216</definedName>
    <definedName name="_xlnm._FilterDatabase" localSheetId="0" hidden="1">'4t18_acum'!$A$5:$F$216</definedName>
  </definedNames>
  <calcPr calcId="145621"/>
</workbook>
</file>

<file path=xl/calcChain.xml><?xml version="1.0" encoding="utf-8"?>
<calcChain xmlns="http://schemas.openxmlformats.org/spreadsheetml/2006/main">
  <c r="F216" i="5" l="1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216" i="4" l="1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<sst xmlns="http://schemas.openxmlformats.org/spreadsheetml/2006/main" count="1776" uniqueCount="440">
  <si>
    <t>Compravendes d'habitatge registrades als municipis de més de 5.000 habitants</t>
  </si>
  <si>
    <t>Codi</t>
  </si>
  <si>
    <t>Municipi</t>
  </si>
  <si>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</si>
  <si>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</si>
  <si>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</si>
  <si>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</si>
  <si>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</si>
  <si>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</si>
  <si>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</si>
  <si>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</si>
  <si>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Municipis de menys de 5.000 habitants</t>
  </si>
  <si>
    <t>(1) la informació de la Canonja està integrada a la ciutat de Tarragona.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</si>
  <si>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</si>
  <si>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r>
      <t>Període</t>
    </r>
    <r>
      <rPr>
        <b/>
        <sz val="10"/>
        <rFont val="Arial"/>
        <family val="2"/>
      </rPr>
      <t>: Gener-març 2018</t>
    </r>
  </si>
  <si>
    <t>08001</t>
  </si>
  <si>
    <t>Abrera</t>
  </si>
  <si>
    <t>25003</t>
  </si>
  <si>
    <t>Agramunt</t>
  </si>
  <si>
    <t>43004</t>
  </si>
  <si>
    <t>Alcanar</t>
  </si>
  <si>
    <t>25011</t>
  </si>
  <si>
    <t>Alcarràs</t>
  </si>
  <si>
    <t>43005</t>
  </si>
  <si>
    <t>Alcover</t>
  </si>
  <si>
    <t>08003</t>
  </si>
  <si>
    <t>Alella</t>
  </si>
  <si>
    <t>25019</t>
  </si>
  <si>
    <t>Almacelles</t>
  </si>
  <si>
    <t>25023</t>
  </si>
  <si>
    <t>Alpicat</t>
  </si>
  <si>
    <t>43012</t>
  </si>
  <si>
    <t>Altafulla</t>
  </si>
  <si>
    <t>43013</t>
  </si>
  <si>
    <t>Ametlla de Mar, l'</t>
  </si>
  <si>
    <t>08005</t>
  </si>
  <si>
    <t>Ametlla del Vallès, l'</t>
  </si>
  <si>
    <t>43014</t>
  </si>
  <si>
    <t>Amposta</t>
  </si>
  <si>
    <t>17008</t>
  </si>
  <si>
    <t>Anglès</t>
  </si>
  <si>
    <t>43016</t>
  </si>
  <si>
    <t>Arboç, l'</t>
  </si>
  <si>
    <t>17009</t>
  </si>
  <si>
    <t>Arbúcies</t>
  </si>
  <si>
    <t>08006</t>
  </si>
  <si>
    <t>Arenys de Mar</t>
  </si>
  <si>
    <t>08007</t>
  </si>
  <si>
    <t>Arenys de Munt</t>
  </si>
  <si>
    <t>08009</t>
  </si>
  <si>
    <t>Argentona</t>
  </si>
  <si>
    <t>08010</t>
  </si>
  <si>
    <t>Artés</t>
  </si>
  <si>
    <t>08015</t>
  </si>
  <si>
    <t>Badalona</t>
  </si>
  <si>
    <t>08904</t>
  </si>
  <si>
    <t>Badia del Vallès</t>
  </si>
  <si>
    <t>25040</t>
  </si>
  <si>
    <t>Balaguer</t>
  </si>
  <si>
    <t>17015</t>
  </si>
  <si>
    <t>Banyoles</t>
  </si>
  <si>
    <t>08252</t>
  </si>
  <si>
    <t>Barberà del Vallès</t>
  </si>
  <si>
    <t>08019</t>
  </si>
  <si>
    <t>Barcelona</t>
  </si>
  <si>
    <t>08020</t>
  </si>
  <si>
    <t>Begues</t>
  </si>
  <si>
    <t>08022</t>
  </si>
  <si>
    <t>Berga</t>
  </si>
  <si>
    <t>08023</t>
  </si>
  <si>
    <t>Bigues i Riells</t>
  </si>
  <si>
    <t>17022</t>
  </si>
  <si>
    <t>Bisbal d'Empordà, la</t>
  </si>
  <si>
    <t>17023</t>
  </si>
  <si>
    <t>Blanes</t>
  </si>
  <si>
    <t>25058</t>
  </si>
  <si>
    <t>Borges Blanques, les</t>
  </si>
  <si>
    <t>08030</t>
  </si>
  <si>
    <t>Cabrils</t>
  </si>
  <si>
    <t>43037</t>
  </si>
  <si>
    <t>Calafell</t>
  </si>
  <si>
    <t>17033</t>
  </si>
  <si>
    <t>Caldes de Malavella</t>
  </si>
  <si>
    <t>08033</t>
  </si>
  <si>
    <t>Caldes de Montbui</t>
  </si>
  <si>
    <t>08035</t>
  </si>
  <si>
    <t>Calella</t>
  </si>
  <si>
    <t>17034</t>
  </si>
  <si>
    <t>Calonge i Sant Antoni</t>
  </si>
  <si>
    <t>43038</t>
  </si>
  <si>
    <t>Cambrils</t>
  </si>
  <si>
    <t>08040</t>
  </si>
  <si>
    <t>Canet de Mar</t>
  </si>
  <si>
    <t>43907</t>
  </si>
  <si>
    <t>Canonja, la (1)</t>
  </si>
  <si>
    <t>08041</t>
  </si>
  <si>
    <t>Canovelles</t>
  </si>
  <si>
    <t>08044</t>
  </si>
  <si>
    <t>Capellades</t>
  </si>
  <si>
    <t>08046</t>
  </si>
  <si>
    <t>Cardedeu</t>
  </si>
  <si>
    <t>17044</t>
  </si>
  <si>
    <t>Cassà de la Selva</t>
  </si>
  <si>
    <t>08051</t>
  </si>
  <si>
    <t>Castellar del Vallès</t>
  </si>
  <si>
    <t>08054</t>
  </si>
  <si>
    <t>Castellbisbal</t>
  </si>
  <si>
    <t>08056</t>
  </si>
  <si>
    <t>Castelldefels</t>
  </si>
  <si>
    <t>17047</t>
  </si>
  <si>
    <t>Castelló d'Empúries</t>
  </si>
  <si>
    <t>17048</t>
  </si>
  <si>
    <t>Castell-Platja d'Aro</t>
  </si>
  <si>
    <t>17049</t>
  </si>
  <si>
    <t>Celrà</t>
  </si>
  <si>
    <t>08067</t>
  </si>
  <si>
    <t>Centelles</t>
  </si>
  <si>
    <t>08266</t>
  </si>
  <si>
    <t>Cerdanyola del Vallès</t>
  </si>
  <si>
    <t>08068</t>
  </si>
  <si>
    <t>Cervelló</t>
  </si>
  <si>
    <t>25072</t>
  </si>
  <si>
    <t>Cervera</t>
  </si>
  <si>
    <t>43047</t>
  </si>
  <si>
    <t>Constantí</t>
  </si>
  <si>
    <t>08072</t>
  </si>
  <si>
    <t>Corbera de Llobregat</t>
  </si>
  <si>
    <t>08073</t>
  </si>
  <si>
    <t>Cornellà de Llobregat</t>
  </si>
  <si>
    <t>08074</t>
  </si>
  <si>
    <t>Cubelles</t>
  </si>
  <si>
    <t>43051</t>
  </si>
  <si>
    <t>Cunit</t>
  </si>
  <si>
    <t>43901</t>
  </si>
  <si>
    <t>Deltebre</t>
  </si>
  <si>
    <t>08075</t>
  </si>
  <si>
    <t>Dosrius</t>
  </si>
  <si>
    <t>17062</t>
  </si>
  <si>
    <t>Escala, l'</t>
  </si>
  <si>
    <t>08076</t>
  </si>
  <si>
    <t>Esparreguera</t>
  </si>
  <si>
    <t>08077</t>
  </si>
  <si>
    <t>Esplugues de Llobregat</t>
  </si>
  <si>
    <t>17066</t>
  </si>
  <si>
    <t>Figueres</t>
  </si>
  <si>
    <t>08086</t>
  </si>
  <si>
    <t>Franqueses del Vallès, les</t>
  </si>
  <si>
    <t>08088</t>
  </si>
  <si>
    <t>Garriga, la</t>
  </si>
  <si>
    <t>08089</t>
  </si>
  <si>
    <t>Gavà</t>
  </si>
  <si>
    <t>08091</t>
  </si>
  <si>
    <t>Gelida</t>
  </si>
  <si>
    <t>17079</t>
  </si>
  <si>
    <t>Girona</t>
  </si>
  <si>
    <t>08096</t>
  </si>
  <si>
    <t>Granollers</t>
  </si>
  <si>
    <t>25110</t>
  </si>
  <si>
    <t>Guissona</t>
  </si>
  <si>
    <t>08101</t>
  </si>
  <si>
    <t>Hospitalet de Llobregat, l'</t>
  </si>
  <si>
    <t>08102</t>
  </si>
  <si>
    <t>Igualada</t>
  </si>
  <si>
    <t>08105</t>
  </si>
  <si>
    <t>Llagosta, la</t>
  </si>
  <si>
    <t>17089</t>
  </si>
  <si>
    <t>Llagostera</t>
  </si>
  <si>
    <t>25120</t>
  </si>
  <si>
    <t>Lleida</t>
  </si>
  <si>
    <t>08107</t>
  </si>
  <si>
    <t>Lliçà d'Amunt</t>
  </si>
  <si>
    <t>08108</t>
  </si>
  <si>
    <t>Lliçà de Vall</t>
  </si>
  <si>
    <t>08106</t>
  </si>
  <si>
    <t>Llinars del Vallès</t>
  </si>
  <si>
    <t>17095</t>
  </si>
  <si>
    <t>Lloret de Mar</t>
  </si>
  <si>
    <t>17103</t>
  </si>
  <si>
    <t>Maçanet de la Selva</t>
  </si>
  <si>
    <t>08110</t>
  </si>
  <si>
    <t>Malgrat de Mar</t>
  </si>
  <si>
    <t>08112</t>
  </si>
  <si>
    <t>Manlleu</t>
  </si>
  <si>
    <t>08113</t>
  </si>
  <si>
    <t>Manresa</t>
  </si>
  <si>
    <t>08114</t>
  </si>
  <si>
    <t>Martorell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</si>
  <si>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</si>
  <si>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</si>
  <si>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</si>
  <si>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</si>
  <si>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</si>
  <si>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</si>
  <si>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</si>
  <si>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</si>
  <si>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08138</t>
  </si>
  <si>
    <t>Moià</t>
  </si>
  <si>
    <t>08123</t>
  </si>
  <si>
    <t>Molins de Rei</t>
  </si>
  <si>
    <t>25137</t>
  </si>
  <si>
    <t>Mollerussa</t>
  </si>
  <si>
    <t>08124</t>
  </si>
  <si>
    <t>Mollet del Vallès</t>
  </si>
  <si>
    <t>43086</t>
  </si>
  <si>
    <t>Montblanc</t>
  </si>
  <si>
    <t>08125</t>
  </si>
  <si>
    <t>Montcada i Reixac</t>
  </si>
  <si>
    <t>08126</t>
  </si>
  <si>
    <t>Montgat</t>
  </si>
  <si>
    <t>08135</t>
  </si>
  <si>
    <t>Montmeló</t>
  </si>
  <si>
    <t>08136</t>
  </si>
  <si>
    <t>Montornès del Vallès</t>
  </si>
  <si>
    <t>43092</t>
  </si>
  <si>
    <t>Mont-roig del Camp</t>
  </si>
  <si>
    <t>43093</t>
  </si>
  <si>
    <t>Móra d'Ebre</t>
  </si>
  <si>
    <t>08140</t>
  </si>
  <si>
    <t>Navarcles</t>
  </si>
  <si>
    <t>08141</t>
  </si>
  <si>
    <t>Navàs</t>
  </si>
  <si>
    <t>08147</t>
  </si>
  <si>
    <t>Olesa de Montserrat</t>
  </si>
  <si>
    <t>17114</t>
  </si>
  <si>
    <t>Olot</t>
  </si>
  <si>
    <t>08155</t>
  </si>
  <si>
    <t>Palafolls</t>
  </si>
  <si>
    <t>17117</t>
  </si>
  <si>
    <t>Palafrugell</t>
  </si>
  <si>
    <t>17118</t>
  </si>
  <si>
    <t>Palamós</t>
  </si>
  <si>
    <t>08156</t>
  </si>
  <si>
    <t>Palau-solità i Plegamans</t>
  </si>
  <si>
    <t>08157</t>
  </si>
  <si>
    <t>Pallejà</t>
  </si>
  <si>
    <t>08159</t>
  </si>
  <si>
    <t>Parets del Vallès</t>
  </si>
  <si>
    <t>08161</t>
  </si>
  <si>
    <t>Piera</t>
  </si>
  <si>
    <t>08163</t>
  </si>
  <si>
    <t>Pineda de Mar</t>
  </si>
  <si>
    <t>08167</t>
  </si>
  <si>
    <t>Polinyà</t>
  </si>
  <si>
    <t>08169</t>
  </si>
  <si>
    <t>Prat de Llobregat, el</t>
  </si>
  <si>
    <t>08230</t>
  </si>
  <si>
    <t>Premià de Dalt</t>
  </si>
  <si>
    <t>08172</t>
  </si>
  <si>
    <t>Premià de Mar</t>
  </si>
  <si>
    <t>17141</t>
  </si>
  <si>
    <t>Puigcerdà</t>
  </si>
  <si>
    <t>43123</t>
  </si>
  <si>
    <t>Reus</t>
  </si>
  <si>
    <t>17147</t>
  </si>
  <si>
    <t>Ripoll</t>
  </si>
  <si>
    <t>08180</t>
  </si>
  <si>
    <t>Ripollet</t>
  </si>
  <si>
    <t>43129</t>
  </si>
  <si>
    <t>Riudoms</t>
  </si>
  <si>
    <t>08181</t>
  </si>
  <si>
    <t>Roca del Vallès, la</t>
  </si>
  <si>
    <t>43131</t>
  </si>
  <si>
    <t>Roda de Berà</t>
  </si>
  <si>
    <t>08183</t>
  </si>
  <si>
    <t>Roda de Ter</t>
  </si>
  <si>
    <t>43133</t>
  </si>
  <si>
    <t>Roquetes</t>
  </si>
  <si>
    <t>17152</t>
  </si>
  <si>
    <t>Roses</t>
  </si>
  <si>
    <t>08184</t>
  </si>
  <si>
    <t>Rubí</t>
  </si>
  <si>
    <t>08187</t>
  </si>
  <si>
    <t>Sabadell</t>
  </si>
  <si>
    <t>08191</t>
  </si>
  <si>
    <t>Sallent</t>
  </si>
  <si>
    <t>43905</t>
  </si>
  <si>
    <t>Salou</t>
  </si>
  <si>
    <t>17155</t>
  </si>
  <si>
    <t>Salt</t>
  </si>
  <si>
    <t>08194</t>
  </si>
  <si>
    <t>Sant Adrià de Besòs</t>
  </si>
  <si>
    <t>08196</t>
  </si>
  <si>
    <t>Sant Andreu de la Barca</t>
  </si>
  <si>
    <t>08197</t>
  </si>
  <si>
    <t>Sant Andreu de Llavaneres</t>
  </si>
  <si>
    <t>08198</t>
  </si>
  <si>
    <t>Sant Antoni de Vilamajor</t>
  </si>
  <si>
    <t>08200</t>
  </si>
  <si>
    <t>Sant Boi de Llobregat</t>
  </si>
  <si>
    <t>43136</t>
  </si>
  <si>
    <t>Sant Carles de la Ràpita</t>
  </si>
  <si>
    <t>08202</t>
  </si>
  <si>
    <t>Sant Celoni</t>
  </si>
  <si>
    <t>08205</t>
  </si>
  <si>
    <t>Sant Cugat del Vallès</t>
  </si>
  <si>
    <t>08208</t>
  </si>
  <si>
    <t>Sant Esteve Sesrovires</t>
  </si>
  <si>
    <t>08210</t>
  </si>
  <si>
    <t>Sant Feliu de Codines</t>
  </si>
  <si>
    <t>17160</t>
  </si>
  <si>
    <t>Sant Feliu de Guíxols</t>
  </si>
  <si>
    <t>08211</t>
  </si>
  <si>
    <t>Sant Feliu de Llobregat</t>
  </si>
  <si>
    <t>08209</t>
  </si>
  <si>
    <t>Sant Fost de Campsentelles</t>
  </si>
  <si>
    <t>08213</t>
  </si>
  <si>
    <t>Sant Fruitós de Bages</t>
  </si>
  <si>
    <t>17164</t>
  </si>
  <si>
    <t>Sant Hilari Sacalm</t>
  </si>
  <si>
    <t>08218</t>
  </si>
  <si>
    <t>Sant Joan de Vilatorrada</t>
  </si>
  <si>
    <t>08217</t>
  </si>
  <si>
    <t>Sant Joan Despí</t>
  </si>
  <si>
    <t>08221</t>
  </si>
  <si>
    <t>Sant Just Desvern</t>
  </si>
  <si>
    <t>08231</t>
  </si>
  <si>
    <t>Sant Pere de Ribes</t>
  </si>
  <si>
    <t>08235</t>
  </si>
  <si>
    <t>Sant Pol de Mar</t>
  </si>
  <si>
    <t>08238</t>
  </si>
  <si>
    <t>Sant Quirze del Vallès</t>
  </si>
  <si>
    <t>08240</t>
  </si>
  <si>
    <t>Sant Sadurní d'Anoia</t>
  </si>
  <si>
    <t>08262</t>
  </si>
  <si>
    <t>Sant Vicenç de Castellet</t>
  </si>
  <si>
    <t>08264</t>
  </si>
  <si>
    <t>Sant Vicenç de Montalt</t>
  </si>
  <si>
    <t>08263</t>
  </si>
  <si>
    <t>Sant Vicenç dels Horts</t>
  </si>
  <si>
    <t>08244</t>
  </si>
  <si>
    <t>Santa Coloma de Cervelló</t>
  </si>
  <si>
    <t>17180</t>
  </si>
  <si>
    <t>Santa Coloma de Farners</t>
  </si>
  <si>
    <t>08245</t>
  </si>
  <si>
    <t>Santa Coloma de Gramenet</t>
  </si>
  <si>
    <t>17181</t>
  </si>
  <si>
    <t>Santa Cristina d'Aro</t>
  </si>
  <si>
    <t>08248</t>
  </si>
  <si>
    <t>Santa Eulàlia de Ronçana</t>
  </si>
  <si>
    <t>08250</t>
  </si>
  <si>
    <t>Santa Margarida de Montbui</t>
  </si>
  <si>
    <t>08251</t>
  </si>
  <si>
    <t>Santa Margarida i els Monjos</t>
  </si>
  <si>
    <t>08259</t>
  </si>
  <si>
    <t>Santa Maria de Palautordera</t>
  </si>
  <si>
    <t>08260</t>
  </si>
  <si>
    <t>Santa Perpètua de Mogoda</t>
  </si>
  <si>
    <t>08192</t>
  </si>
  <si>
    <t>Santpedor</t>
  </si>
  <si>
    <t>17186</t>
  </si>
  <si>
    <t>Sarrià de Ter</t>
  </si>
  <si>
    <t>43145</t>
  </si>
  <si>
    <t>Selva del Camp, la</t>
  </si>
  <si>
    <t>43044</t>
  </si>
  <si>
    <t>Sénia, la</t>
  </si>
  <si>
    <t>08267</t>
  </si>
  <si>
    <t>Sentmenat</t>
  </si>
  <si>
    <t>25203</t>
  </si>
  <si>
    <t>Seu d'Urgell, la</t>
  </si>
  <si>
    <t>17193</t>
  </si>
  <si>
    <t>Sils</t>
  </si>
  <si>
    <t>08270</t>
  </si>
  <si>
    <t>Sitges</t>
  </si>
  <si>
    <t>25207</t>
  </si>
  <si>
    <t>Solsona</t>
  </si>
  <si>
    <t>08274</t>
  </si>
  <si>
    <t>Súria</t>
  </si>
  <si>
    <t>08278</t>
  </si>
  <si>
    <t>Taradell</t>
  </si>
  <si>
    <t>43148</t>
  </si>
  <si>
    <t>Tarragona (1)</t>
  </si>
  <si>
    <t>25217</t>
  </si>
  <si>
    <t>Tàrrega</t>
  </si>
  <si>
    <t>08281</t>
  </si>
  <si>
    <t>Teià</t>
  </si>
  <si>
    <t>08279</t>
  </si>
  <si>
    <t>Terrassa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</si>
  <si>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</si>
  <si>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</si>
  <si>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</si>
  <si>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</si>
  <si>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</si>
  <si>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</si>
  <si>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</si>
  <si>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</si>
  <si>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43153</t>
  </si>
  <si>
    <t>Torredembarra</t>
  </si>
  <si>
    <t>08289</t>
  </si>
  <si>
    <t>Torrelles de Llobregat</t>
  </si>
  <si>
    <t>17199</t>
  </si>
  <si>
    <t>Torroella de Montgrí</t>
  </si>
  <si>
    <t>43155</t>
  </si>
  <si>
    <t>Tortosa</t>
  </si>
  <si>
    <t>17202</t>
  </si>
  <si>
    <t>Tossa de Mar</t>
  </si>
  <si>
    <t>25234</t>
  </si>
  <si>
    <t>Tremp</t>
  </si>
  <si>
    <t>43156</t>
  </si>
  <si>
    <t>Ulldecona</t>
  </si>
  <si>
    <t>08291</t>
  </si>
  <si>
    <t>Vacarisses</t>
  </si>
  <si>
    <t>08295</t>
  </si>
  <si>
    <t>Vallirana</t>
  </si>
  <si>
    <t>43161</t>
  </si>
  <si>
    <t>Valls</t>
  </si>
  <si>
    <t>43162</t>
  </si>
  <si>
    <t>Vandellòs i l'Hospitalet de l'Infant</t>
  </si>
  <si>
    <t>43163</t>
  </si>
  <si>
    <t>Vendrell, el</t>
  </si>
  <si>
    <t>08298</t>
  </si>
  <si>
    <t>Vic</t>
  </si>
  <si>
    <t>17213</t>
  </si>
  <si>
    <t>Vidreres</t>
  </si>
  <si>
    <t>25243</t>
  </si>
  <si>
    <t>Vielha e Mijaran</t>
  </si>
  <si>
    <t>08301</t>
  </si>
  <si>
    <t>Viladecans</t>
  </si>
  <si>
    <t>08300</t>
  </si>
  <si>
    <t>Viladecavalls</t>
  </si>
  <si>
    <t>17221</t>
  </si>
  <si>
    <t>Vilafant</t>
  </si>
  <si>
    <t>08305</t>
  </si>
  <si>
    <t>Vilafranca del Penedès</t>
  </si>
  <si>
    <t>08302</t>
  </si>
  <si>
    <t>Vilanova del Camí</t>
  </si>
  <si>
    <t>08902</t>
  </si>
  <si>
    <t>Vilanova del Vallès</t>
  </si>
  <si>
    <t>08307</t>
  </si>
  <si>
    <t>Vilanova i la Geltrú</t>
  </si>
  <si>
    <t>43171</t>
  </si>
  <si>
    <t>Vila-seca</t>
  </si>
  <si>
    <t>08214</t>
  </si>
  <si>
    <t>Vilassar de Dalt</t>
  </si>
  <si>
    <t>08219</t>
  </si>
  <si>
    <t>Vilassar de Mar</t>
  </si>
  <si>
    <r>
      <t xml:space="preserve">Preu total </t>
    </r>
    <r>
      <rPr>
        <sz val="9"/>
        <rFont val="Arial"/>
        <family val="2"/>
      </rPr>
      <t>(milers d'euros)</t>
    </r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</si>
  <si>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</si>
  <si>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r>
      <t>Període</t>
    </r>
    <r>
      <rPr>
        <b/>
        <sz val="10"/>
        <rFont val="Arial"/>
        <family val="2"/>
      </rPr>
      <t>: Gener-juny 2018</t>
    </r>
  </si>
  <si>
    <r>
      <t>Període</t>
    </r>
    <r>
      <rPr>
        <b/>
        <sz val="10"/>
        <rFont val="Arial"/>
        <family val="2"/>
      </rPr>
      <t>: Gener-setembre 2018</t>
    </r>
  </si>
  <si>
    <r>
      <t>Període</t>
    </r>
    <r>
      <rPr>
        <b/>
        <sz val="10"/>
        <rFont val="Arial"/>
        <family val="2"/>
      </rPr>
      <t>: Any 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</si>
</sst>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;;\-"/>
    <numFmt numFmtId="165" formatCode="#,##0.0;;\-"/>
    <numFmt numFmtId="166" formatCode="#,##0.00;;\-"/>
  </numFmts>
  <fonts count="10" x14ac:knownFonts="1">
    <font>
      <sz val="10"/>
      <name val="Arial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1" fillId="0" borderId="0" xfId="0" applyNumberFormat="1" applyFont="1" applyAlignment="1">
      <alignment wrapText="1"/>
    </xf>
    <xf numFmtId="3" fontId="3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3" fillId="0" borderId="1" xfId="0" applyNumberFormat="1" applyFont="1" applyBorder="1" applyAlignment="1">
      <alignment horizontal="centerContinuous"/>
    </xf>
    <xf numFmtId="165" fontId="3" fillId="0" borderId="1" xfId="0" applyNumberFormat="1" applyFont="1" applyBorder="1" applyAlignment="1">
      <alignment horizontal="right" wrapText="1"/>
    </xf>
    <xf numFmtId="3" fontId="7" fillId="0" borderId="0" xfId="0" applyNumberFormat="1" applyFont="1"/>
    <xf numFmtId="3" fontId="5" fillId="0" borderId="0" xfId="0" quotePrefix="1" applyNumberFormat="1" applyFont="1"/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/>
    <xf numFmtId="165" fontId="1" fillId="0" borderId="1" xfId="0" applyNumberFormat="1" applyFont="1" applyFill="1" applyBorder="1"/>
    <xf numFmtId="3" fontId="1" fillId="0" borderId="0" xfId="0" applyNumberFormat="1" applyFont="1" applyFill="1"/>
    <xf numFmtId="166" fontId="1" fillId="0" borderId="1" xfId="0" applyNumberFormat="1" applyFont="1" applyFill="1" applyBorder="1"/>
    <xf numFmtId="166" fontId="1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tabSelected="1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256" width="11.42578125" style="1"/>
    <col min="257" max="257" width="11.42578125" style="1" customWidth="1"/>
    <col min="258" max="258" width="35.7109375" style="1" customWidth="1"/>
    <col min="259" max="262" width="10.7109375" style="1" customWidth="1"/>
    <col min="263" max="263" width="2.7109375" style="1" customWidth="1"/>
    <col min="264" max="267" width="10.7109375" style="1" customWidth="1"/>
    <col min="268" max="268" width="2.7109375" style="1" customWidth="1"/>
    <col min="269" max="271" width="10.7109375" style="1" customWidth="1"/>
    <col min="272" max="272" width="2.7109375" style="1" customWidth="1"/>
    <col min="273" max="275" width="10.7109375" style="1" customWidth="1"/>
    <col min="276" max="512" width="11.42578125" style="1"/>
    <col min="513" max="513" width="11.42578125" style="1" customWidth="1"/>
    <col min="514" max="514" width="35.7109375" style="1" customWidth="1"/>
    <col min="515" max="518" width="10.7109375" style="1" customWidth="1"/>
    <col min="519" max="519" width="2.7109375" style="1" customWidth="1"/>
    <col min="520" max="523" width="10.7109375" style="1" customWidth="1"/>
    <col min="524" max="524" width="2.7109375" style="1" customWidth="1"/>
    <col min="525" max="527" width="10.7109375" style="1" customWidth="1"/>
    <col min="528" max="528" width="2.7109375" style="1" customWidth="1"/>
    <col min="529" max="531" width="10.7109375" style="1" customWidth="1"/>
    <col min="532" max="768" width="11.42578125" style="1"/>
    <col min="769" max="769" width="11.42578125" style="1" customWidth="1"/>
    <col min="770" max="770" width="35.7109375" style="1" customWidth="1"/>
    <col min="771" max="774" width="10.7109375" style="1" customWidth="1"/>
    <col min="775" max="775" width="2.7109375" style="1" customWidth="1"/>
    <col min="776" max="779" width="10.7109375" style="1" customWidth="1"/>
    <col min="780" max="780" width="2.7109375" style="1" customWidth="1"/>
    <col min="781" max="783" width="10.7109375" style="1" customWidth="1"/>
    <col min="784" max="784" width="2.7109375" style="1" customWidth="1"/>
    <col min="785" max="787" width="10.7109375" style="1" customWidth="1"/>
    <col min="788" max="1024" width="11.42578125" style="1"/>
    <col min="1025" max="1025" width="11.42578125" style="1" customWidth="1"/>
    <col min="1026" max="1026" width="35.7109375" style="1" customWidth="1"/>
    <col min="1027" max="1030" width="10.7109375" style="1" customWidth="1"/>
    <col min="1031" max="1031" width="2.7109375" style="1" customWidth="1"/>
    <col min="1032" max="1035" width="10.7109375" style="1" customWidth="1"/>
    <col min="1036" max="1036" width="2.7109375" style="1" customWidth="1"/>
    <col min="1037" max="1039" width="10.7109375" style="1" customWidth="1"/>
    <col min="1040" max="1040" width="2.7109375" style="1" customWidth="1"/>
    <col min="1041" max="1043" width="10.7109375" style="1" customWidth="1"/>
    <col min="1044" max="1280" width="11.42578125" style="1"/>
    <col min="1281" max="1281" width="11.42578125" style="1" customWidth="1"/>
    <col min="1282" max="1282" width="35.7109375" style="1" customWidth="1"/>
    <col min="1283" max="1286" width="10.7109375" style="1" customWidth="1"/>
    <col min="1287" max="1287" width="2.7109375" style="1" customWidth="1"/>
    <col min="1288" max="1291" width="10.7109375" style="1" customWidth="1"/>
    <col min="1292" max="1292" width="2.7109375" style="1" customWidth="1"/>
    <col min="1293" max="1295" width="10.7109375" style="1" customWidth="1"/>
    <col min="1296" max="1296" width="2.7109375" style="1" customWidth="1"/>
    <col min="1297" max="1299" width="10.7109375" style="1" customWidth="1"/>
    <col min="1300" max="1536" width="11.42578125" style="1"/>
    <col min="1537" max="1537" width="11.42578125" style="1" customWidth="1"/>
    <col min="1538" max="1538" width="35.7109375" style="1" customWidth="1"/>
    <col min="1539" max="1542" width="10.7109375" style="1" customWidth="1"/>
    <col min="1543" max="1543" width="2.7109375" style="1" customWidth="1"/>
    <col min="1544" max="1547" width="10.7109375" style="1" customWidth="1"/>
    <col min="1548" max="1548" width="2.7109375" style="1" customWidth="1"/>
    <col min="1549" max="1551" width="10.7109375" style="1" customWidth="1"/>
    <col min="1552" max="1552" width="2.7109375" style="1" customWidth="1"/>
    <col min="1553" max="1555" width="10.7109375" style="1" customWidth="1"/>
    <col min="1556" max="1792" width="11.42578125" style="1"/>
    <col min="1793" max="1793" width="11.42578125" style="1" customWidth="1"/>
    <col min="1794" max="1794" width="35.7109375" style="1" customWidth="1"/>
    <col min="1795" max="1798" width="10.7109375" style="1" customWidth="1"/>
    <col min="1799" max="1799" width="2.7109375" style="1" customWidth="1"/>
    <col min="1800" max="1803" width="10.7109375" style="1" customWidth="1"/>
    <col min="1804" max="1804" width="2.7109375" style="1" customWidth="1"/>
    <col min="1805" max="1807" width="10.7109375" style="1" customWidth="1"/>
    <col min="1808" max="1808" width="2.7109375" style="1" customWidth="1"/>
    <col min="1809" max="1811" width="10.7109375" style="1" customWidth="1"/>
    <col min="1812" max="2048" width="11.42578125" style="1"/>
    <col min="2049" max="2049" width="11.42578125" style="1" customWidth="1"/>
    <col min="2050" max="2050" width="35.7109375" style="1" customWidth="1"/>
    <col min="2051" max="2054" width="10.7109375" style="1" customWidth="1"/>
    <col min="2055" max="2055" width="2.7109375" style="1" customWidth="1"/>
    <col min="2056" max="2059" width="10.7109375" style="1" customWidth="1"/>
    <col min="2060" max="2060" width="2.7109375" style="1" customWidth="1"/>
    <col min="2061" max="2063" width="10.7109375" style="1" customWidth="1"/>
    <col min="2064" max="2064" width="2.7109375" style="1" customWidth="1"/>
    <col min="2065" max="2067" width="10.7109375" style="1" customWidth="1"/>
    <col min="2068" max="2304" width="11.42578125" style="1"/>
    <col min="2305" max="2305" width="11.42578125" style="1" customWidth="1"/>
    <col min="2306" max="2306" width="35.7109375" style="1" customWidth="1"/>
    <col min="2307" max="2310" width="10.7109375" style="1" customWidth="1"/>
    <col min="2311" max="2311" width="2.7109375" style="1" customWidth="1"/>
    <col min="2312" max="2315" width="10.7109375" style="1" customWidth="1"/>
    <col min="2316" max="2316" width="2.7109375" style="1" customWidth="1"/>
    <col min="2317" max="2319" width="10.7109375" style="1" customWidth="1"/>
    <col min="2320" max="2320" width="2.7109375" style="1" customWidth="1"/>
    <col min="2321" max="2323" width="10.7109375" style="1" customWidth="1"/>
    <col min="2324" max="2560" width="11.42578125" style="1"/>
    <col min="2561" max="2561" width="11.42578125" style="1" customWidth="1"/>
    <col min="2562" max="2562" width="35.7109375" style="1" customWidth="1"/>
    <col min="2563" max="2566" width="10.7109375" style="1" customWidth="1"/>
    <col min="2567" max="2567" width="2.7109375" style="1" customWidth="1"/>
    <col min="2568" max="2571" width="10.7109375" style="1" customWidth="1"/>
    <col min="2572" max="2572" width="2.7109375" style="1" customWidth="1"/>
    <col min="2573" max="2575" width="10.7109375" style="1" customWidth="1"/>
    <col min="2576" max="2576" width="2.7109375" style="1" customWidth="1"/>
    <col min="2577" max="2579" width="10.7109375" style="1" customWidth="1"/>
    <col min="2580" max="2816" width="11.42578125" style="1"/>
    <col min="2817" max="2817" width="11.42578125" style="1" customWidth="1"/>
    <col min="2818" max="2818" width="35.7109375" style="1" customWidth="1"/>
    <col min="2819" max="2822" width="10.7109375" style="1" customWidth="1"/>
    <col min="2823" max="2823" width="2.7109375" style="1" customWidth="1"/>
    <col min="2824" max="2827" width="10.7109375" style="1" customWidth="1"/>
    <col min="2828" max="2828" width="2.7109375" style="1" customWidth="1"/>
    <col min="2829" max="2831" width="10.7109375" style="1" customWidth="1"/>
    <col min="2832" max="2832" width="2.7109375" style="1" customWidth="1"/>
    <col min="2833" max="2835" width="10.7109375" style="1" customWidth="1"/>
    <col min="2836" max="3072" width="11.42578125" style="1"/>
    <col min="3073" max="3073" width="11.42578125" style="1" customWidth="1"/>
    <col min="3074" max="3074" width="35.7109375" style="1" customWidth="1"/>
    <col min="3075" max="3078" width="10.7109375" style="1" customWidth="1"/>
    <col min="3079" max="3079" width="2.7109375" style="1" customWidth="1"/>
    <col min="3080" max="3083" width="10.7109375" style="1" customWidth="1"/>
    <col min="3084" max="3084" width="2.7109375" style="1" customWidth="1"/>
    <col min="3085" max="3087" width="10.7109375" style="1" customWidth="1"/>
    <col min="3088" max="3088" width="2.7109375" style="1" customWidth="1"/>
    <col min="3089" max="3091" width="10.7109375" style="1" customWidth="1"/>
    <col min="3092" max="3328" width="11.42578125" style="1"/>
    <col min="3329" max="3329" width="11.42578125" style="1" customWidth="1"/>
    <col min="3330" max="3330" width="35.7109375" style="1" customWidth="1"/>
    <col min="3331" max="3334" width="10.7109375" style="1" customWidth="1"/>
    <col min="3335" max="3335" width="2.7109375" style="1" customWidth="1"/>
    <col min="3336" max="3339" width="10.7109375" style="1" customWidth="1"/>
    <col min="3340" max="3340" width="2.7109375" style="1" customWidth="1"/>
    <col min="3341" max="3343" width="10.7109375" style="1" customWidth="1"/>
    <col min="3344" max="3344" width="2.7109375" style="1" customWidth="1"/>
    <col min="3345" max="3347" width="10.7109375" style="1" customWidth="1"/>
    <col min="3348" max="3584" width="11.42578125" style="1"/>
    <col min="3585" max="3585" width="11.42578125" style="1" customWidth="1"/>
    <col min="3586" max="3586" width="35.7109375" style="1" customWidth="1"/>
    <col min="3587" max="3590" width="10.7109375" style="1" customWidth="1"/>
    <col min="3591" max="3591" width="2.7109375" style="1" customWidth="1"/>
    <col min="3592" max="3595" width="10.7109375" style="1" customWidth="1"/>
    <col min="3596" max="3596" width="2.7109375" style="1" customWidth="1"/>
    <col min="3597" max="3599" width="10.7109375" style="1" customWidth="1"/>
    <col min="3600" max="3600" width="2.7109375" style="1" customWidth="1"/>
    <col min="3601" max="3603" width="10.7109375" style="1" customWidth="1"/>
    <col min="3604" max="3840" width="11.42578125" style="1"/>
    <col min="3841" max="3841" width="11.42578125" style="1" customWidth="1"/>
    <col min="3842" max="3842" width="35.7109375" style="1" customWidth="1"/>
    <col min="3843" max="3846" width="10.7109375" style="1" customWidth="1"/>
    <col min="3847" max="3847" width="2.7109375" style="1" customWidth="1"/>
    <col min="3848" max="3851" width="10.7109375" style="1" customWidth="1"/>
    <col min="3852" max="3852" width="2.7109375" style="1" customWidth="1"/>
    <col min="3853" max="3855" width="10.7109375" style="1" customWidth="1"/>
    <col min="3856" max="3856" width="2.7109375" style="1" customWidth="1"/>
    <col min="3857" max="3859" width="10.7109375" style="1" customWidth="1"/>
    <col min="3860" max="4096" width="11.42578125" style="1"/>
    <col min="4097" max="4097" width="11.42578125" style="1" customWidth="1"/>
    <col min="4098" max="4098" width="35.7109375" style="1" customWidth="1"/>
    <col min="4099" max="4102" width="10.7109375" style="1" customWidth="1"/>
    <col min="4103" max="4103" width="2.7109375" style="1" customWidth="1"/>
    <col min="4104" max="4107" width="10.7109375" style="1" customWidth="1"/>
    <col min="4108" max="4108" width="2.7109375" style="1" customWidth="1"/>
    <col min="4109" max="4111" width="10.7109375" style="1" customWidth="1"/>
    <col min="4112" max="4112" width="2.7109375" style="1" customWidth="1"/>
    <col min="4113" max="4115" width="10.7109375" style="1" customWidth="1"/>
    <col min="4116" max="4352" width="11.42578125" style="1"/>
    <col min="4353" max="4353" width="11.42578125" style="1" customWidth="1"/>
    <col min="4354" max="4354" width="35.7109375" style="1" customWidth="1"/>
    <col min="4355" max="4358" width="10.7109375" style="1" customWidth="1"/>
    <col min="4359" max="4359" width="2.7109375" style="1" customWidth="1"/>
    <col min="4360" max="4363" width="10.7109375" style="1" customWidth="1"/>
    <col min="4364" max="4364" width="2.7109375" style="1" customWidth="1"/>
    <col min="4365" max="4367" width="10.7109375" style="1" customWidth="1"/>
    <col min="4368" max="4368" width="2.7109375" style="1" customWidth="1"/>
    <col min="4369" max="4371" width="10.7109375" style="1" customWidth="1"/>
    <col min="4372" max="4608" width="11.42578125" style="1"/>
    <col min="4609" max="4609" width="11.42578125" style="1" customWidth="1"/>
    <col min="4610" max="4610" width="35.7109375" style="1" customWidth="1"/>
    <col min="4611" max="4614" width="10.7109375" style="1" customWidth="1"/>
    <col min="4615" max="4615" width="2.7109375" style="1" customWidth="1"/>
    <col min="4616" max="4619" width="10.7109375" style="1" customWidth="1"/>
    <col min="4620" max="4620" width="2.7109375" style="1" customWidth="1"/>
    <col min="4621" max="4623" width="10.7109375" style="1" customWidth="1"/>
    <col min="4624" max="4624" width="2.7109375" style="1" customWidth="1"/>
    <col min="4625" max="4627" width="10.7109375" style="1" customWidth="1"/>
    <col min="4628" max="4864" width="11.42578125" style="1"/>
    <col min="4865" max="4865" width="11.42578125" style="1" customWidth="1"/>
    <col min="4866" max="4866" width="35.7109375" style="1" customWidth="1"/>
    <col min="4867" max="4870" width="10.7109375" style="1" customWidth="1"/>
    <col min="4871" max="4871" width="2.7109375" style="1" customWidth="1"/>
    <col min="4872" max="4875" width="10.7109375" style="1" customWidth="1"/>
    <col min="4876" max="4876" width="2.7109375" style="1" customWidth="1"/>
    <col min="4877" max="4879" width="10.7109375" style="1" customWidth="1"/>
    <col min="4880" max="4880" width="2.7109375" style="1" customWidth="1"/>
    <col min="4881" max="4883" width="10.7109375" style="1" customWidth="1"/>
    <col min="4884" max="5120" width="11.42578125" style="1"/>
    <col min="5121" max="5121" width="11.42578125" style="1" customWidth="1"/>
    <col min="5122" max="5122" width="35.7109375" style="1" customWidth="1"/>
    <col min="5123" max="5126" width="10.7109375" style="1" customWidth="1"/>
    <col min="5127" max="5127" width="2.7109375" style="1" customWidth="1"/>
    <col min="5128" max="5131" width="10.7109375" style="1" customWidth="1"/>
    <col min="5132" max="5132" width="2.7109375" style="1" customWidth="1"/>
    <col min="5133" max="5135" width="10.7109375" style="1" customWidth="1"/>
    <col min="5136" max="5136" width="2.7109375" style="1" customWidth="1"/>
    <col min="5137" max="5139" width="10.7109375" style="1" customWidth="1"/>
    <col min="5140" max="5376" width="11.42578125" style="1"/>
    <col min="5377" max="5377" width="11.42578125" style="1" customWidth="1"/>
    <col min="5378" max="5378" width="35.7109375" style="1" customWidth="1"/>
    <col min="5379" max="5382" width="10.7109375" style="1" customWidth="1"/>
    <col min="5383" max="5383" width="2.7109375" style="1" customWidth="1"/>
    <col min="5384" max="5387" width="10.7109375" style="1" customWidth="1"/>
    <col min="5388" max="5388" width="2.7109375" style="1" customWidth="1"/>
    <col min="5389" max="5391" width="10.7109375" style="1" customWidth="1"/>
    <col min="5392" max="5392" width="2.7109375" style="1" customWidth="1"/>
    <col min="5393" max="5395" width="10.7109375" style="1" customWidth="1"/>
    <col min="5396" max="5632" width="11.42578125" style="1"/>
    <col min="5633" max="5633" width="11.42578125" style="1" customWidth="1"/>
    <col min="5634" max="5634" width="35.7109375" style="1" customWidth="1"/>
    <col min="5635" max="5638" width="10.7109375" style="1" customWidth="1"/>
    <col min="5639" max="5639" width="2.7109375" style="1" customWidth="1"/>
    <col min="5640" max="5643" width="10.7109375" style="1" customWidth="1"/>
    <col min="5644" max="5644" width="2.7109375" style="1" customWidth="1"/>
    <col min="5645" max="5647" width="10.7109375" style="1" customWidth="1"/>
    <col min="5648" max="5648" width="2.7109375" style="1" customWidth="1"/>
    <col min="5649" max="5651" width="10.7109375" style="1" customWidth="1"/>
    <col min="5652" max="5888" width="11.42578125" style="1"/>
    <col min="5889" max="5889" width="11.42578125" style="1" customWidth="1"/>
    <col min="5890" max="5890" width="35.7109375" style="1" customWidth="1"/>
    <col min="5891" max="5894" width="10.7109375" style="1" customWidth="1"/>
    <col min="5895" max="5895" width="2.7109375" style="1" customWidth="1"/>
    <col min="5896" max="5899" width="10.7109375" style="1" customWidth="1"/>
    <col min="5900" max="5900" width="2.7109375" style="1" customWidth="1"/>
    <col min="5901" max="5903" width="10.7109375" style="1" customWidth="1"/>
    <col min="5904" max="5904" width="2.7109375" style="1" customWidth="1"/>
    <col min="5905" max="5907" width="10.7109375" style="1" customWidth="1"/>
    <col min="5908" max="6144" width="11.42578125" style="1"/>
    <col min="6145" max="6145" width="11.42578125" style="1" customWidth="1"/>
    <col min="6146" max="6146" width="35.7109375" style="1" customWidth="1"/>
    <col min="6147" max="6150" width="10.7109375" style="1" customWidth="1"/>
    <col min="6151" max="6151" width="2.7109375" style="1" customWidth="1"/>
    <col min="6152" max="6155" width="10.7109375" style="1" customWidth="1"/>
    <col min="6156" max="6156" width="2.7109375" style="1" customWidth="1"/>
    <col min="6157" max="6159" width="10.7109375" style="1" customWidth="1"/>
    <col min="6160" max="6160" width="2.7109375" style="1" customWidth="1"/>
    <col min="6161" max="6163" width="10.7109375" style="1" customWidth="1"/>
    <col min="6164" max="6400" width="11.42578125" style="1"/>
    <col min="6401" max="6401" width="11.42578125" style="1" customWidth="1"/>
    <col min="6402" max="6402" width="35.7109375" style="1" customWidth="1"/>
    <col min="6403" max="6406" width="10.7109375" style="1" customWidth="1"/>
    <col min="6407" max="6407" width="2.7109375" style="1" customWidth="1"/>
    <col min="6408" max="6411" width="10.7109375" style="1" customWidth="1"/>
    <col min="6412" max="6412" width="2.7109375" style="1" customWidth="1"/>
    <col min="6413" max="6415" width="10.7109375" style="1" customWidth="1"/>
    <col min="6416" max="6416" width="2.7109375" style="1" customWidth="1"/>
    <col min="6417" max="6419" width="10.7109375" style="1" customWidth="1"/>
    <col min="6420" max="6656" width="11.42578125" style="1"/>
    <col min="6657" max="6657" width="11.42578125" style="1" customWidth="1"/>
    <col min="6658" max="6658" width="35.7109375" style="1" customWidth="1"/>
    <col min="6659" max="6662" width="10.7109375" style="1" customWidth="1"/>
    <col min="6663" max="6663" width="2.7109375" style="1" customWidth="1"/>
    <col min="6664" max="6667" width="10.7109375" style="1" customWidth="1"/>
    <col min="6668" max="6668" width="2.7109375" style="1" customWidth="1"/>
    <col min="6669" max="6671" width="10.7109375" style="1" customWidth="1"/>
    <col min="6672" max="6672" width="2.7109375" style="1" customWidth="1"/>
    <col min="6673" max="6675" width="10.7109375" style="1" customWidth="1"/>
    <col min="6676" max="6912" width="11.42578125" style="1"/>
    <col min="6913" max="6913" width="11.42578125" style="1" customWidth="1"/>
    <col min="6914" max="6914" width="35.7109375" style="1" customWidth="1"/>
    <col min="6915" max="6918" width="10.7109375" style="1" customWidth="1"/>
    <col min="6919" max="6919" width="2.7109375" style="1" customWidth="1"/>
    <col min="6920" max="6923" width="10.7109375" style="1" customWidth="1"/>
    <col min="6924" max="6924" width="2.7109375" style="1" customWidth="1"/>
    <col min="6925" max="6927" width="10.7109375" style="1" customWidth="1"/>
    <col min="6928" max="6928" width="2.7109375" style="1" customWidth="1"/>
    <col min="6929" max="6931" width="10.7109375" style="1" customWidth="1"/>
    <col min="6932" max="7168" width="11.42578125" style="1"/>
    <col min="7169" max="7169" width="11.42578125" style="1" customWidth="1"/>
    <col min="7170" max="7170" width="35.7109375" style="1" customWidth="1"/>
    <col min="7171" max="7174" width="10.7109375" style="1" customWidth="1"/>
    <col min="7175" max="7175" width="2.7109375" style="1" customWidth="1"/>
    <col min="7176" max="7179" width="10.7109375" style="1" customWidth="1"/>
    <col min="7180" max="7180" width="2.7109375" style="1" customWidth="1"/>
    <col min="7181" max="7183" width="10.7109375" style="1" customWidth="1"/>
    <col min="7184" max="7184" width="2.7109375" style="1" customWidth="1"/>
    <col min="7185" max="7187" width="10.7109375" style="1" customWidth="1"/>
    <col min="7188" max="7424" width="11.42578125" style="1"/>
    <col min="7425" max="7425" width="11.42578125" style="1" customWidth="1"/>
    <col min="7426" max="7426" width="35.7109375" style="1" customWidth="1"/>
    <col min="7427" max="7430" width="10.7109375" style="1" customWidth="1"/>
    <col min="7431" max="7431" width="2.7109375" style="1" customWidth="1"/>
    <col min="7432" max="7435" width="10.7109375" style="1" customWidth="1"/>
    <col min="7436" max="7436" width="2.7109375" style="1" customWidth="1"/>
    <col min="7437" max="7439" width="10.7109375" style="1" customWidth="1"/>
    <col min="7440" max="7440" width="2.7109375" style="1" customWidth="1"/>
    <col min="7441" max="7443" width="10.7109375" style="1" customWidth="1"/>
    <col min="7444" max="7680" width="11.42578125" style="1"/>
    <col min="7681" max="7681" width="11.42578125" style="1" customWidth="1"/>
    <col min="7682" max="7682" width="35.7109375" style="1" customWidth="1"/>
    <col min="7683" max="7686" width="10.7109375" style="1" customWidth="1"/>
    <col min="7687" max="7687" width="2.7109375" style="1" customWidth="1"/>
    <col min="7688" max="7691" width="10.7109375" style="1" customWidth="1"/>
    <col min="7692" max="7692" width="2.7109375" style="1" customWidth="1"/>
    <col min="7693" max="7695" width="10.7109375" style="1" customWidth="1"/>
    <col min="7696" max="7696" width="2.7109375" style="1" customWidth="1"/>
    <col min="7697" max="7699" width="10.7109375" style="1" customWidth="1"/>
    <col min="7700" max="7936" width="11.42578125" style="1"/>
    <col min="7937" max="7937" width="11.42578125" style="1" customWidth="1"/>
    <col min="7938" max="7938" width="35.7109375" style="1" customWidth="1"/>
    <col min="7939" max="7942" width="10.7109375" style="1" customWidth="1"/>
    <col min="7943" max="7943" width="2.7109375" style="1" customWidth="1"/>
    <col min="7944" max="7947" width="10.7109375" style="1" customWidth="1"/>
    <col min="7948" max="7948" width="2.7109375" style="1" customWidth="1"/>
    <col min="7949" max="7951" width="10.7109375" style="1" customWidth="1"/>
    <col min="7952" max="7952" width="2.7109375" style="1" customWidth="1"/>
    <col min="7953" max="7955" width="10.7109375" style="1" customWidth="1"/>
    <col min="7956" max="8192" width="11.42578125" style="1"/>
    <col min="8193" max="8193" width="11.42578125" style="1" customWidth="1"/>
    <col min="8194" max="8194" width="35.7109375" style="1" customWidth="1"/>
    <col min="8195" max="8198" width="10.7109375" style="1" customWidth="1"/>
    <col min="8199" max="8199" width="2.7109375" style="1" customWidth="1"/>
    <col min="8200" max="8203" width="10.7109375" style="1" customWidth="1"/>
    <col min="8204" max="8204" width="2.7109375" style="1" customWidth="1"/>
    <col min="8205" max="8207" width="10.7109375" style="1" customWidth="1"/>
    <col min="8208" max="8208" width="2.7109375" style="1" customWidth="1"/>
    <col min="8209" max="8211" width="10.7109375" style="1" customWidth="1"/>
    <col min="8212" max="8448" width="11.42578125" style="1"/>
    <col min="8449" max="8449" width="11.42578125" style="1" customWidth="1"/>
    <col min="8450" max="8450" width="35.7109375" style="1" customWidth="1"/>
    <col min="8451" max="8454" width="10.7109375" style="1" customWidth="1"/>
    <col min="8455" max="8455" width="2.7109375" style="1" customWidth="1"/>
    <col min="8456" max="8459" width="10.7109375" style="1" customWidth="1"/>
    <col min="8460" max="8460" width="2.7109375" style="1" customWidth="1"/>
    <col min="8461" max="8463" width="10.7109375" style="1" customWidth="1"/>
    <col min="8464" max="8464" width="2.7109375" style="1" customWidth="1"/>
    <col min="8465" max="8467" width="10.7109375" style="1" customWidth="1"/>
    <col min="8468" max="8704" width="11.42578125" style="1"/>
    <col min="8705" max="8705" width="11.42578125" style="1" customWidth="1"/>
    <col min="8706" max="8706" width="35.7109375" style="1" customWidth="1"/>
    <col min="8707" max="8710" width="10.7109375" style="1" customWidth="1"/>
    <col min="8711" max="8711" width="2.7109375" style="1" customWidth="1"/>
    <col min="8712" max="8715" width="10.7109375" style="1" customWidth="1"/>
    <col min="8716" max="8716" width="2.7109375" style="1" customWidth="1"/>
    <col min="8717" max="8719" width="10.7109375" style="1" customWidth="1"/>
    <col min="8720" max="8720" width="2.7109375" style="1" customWidth="1"/>
    <col min="8721" max="8723" width="10.7109375" style="1" customWidth="1"/>
    <col min="8724" max="8960" width="11.42578125" style="1"/>
    <col min="8961" max="8961" width="11.42578125" style="1" customWidth="1"/>
    <col min="8962" max="8962" width="35.7109375" style="1" customWidth="1"/>
    <col min="8963" max="8966" width="10.7109375" style="1" customWidth="1"/>
    <col min="8967" max="8967" width="2.7109375" style="1" customWidth="1"/>
    <col min="8968" max="8971" width="10.7109375" style="1" customWidth="1"/>
    <col min="8972" max="8972" width="2.7109375" style="1" customWidth="1"/>
    <col min="8973" max="8975" width="10.7109375" style="1" customWidth="1"/>
    <col min="8976" max="8976" width="2.7109375" style="1" customWidth="1"/>
    <col min="8977" max="8979" width="10.7109375" style="1" customWidth="1"/>
    <col min="8980" max="9216" width="11.42578125" style="1"/>
    <col min="9217" max="9217" width="11.42578125" style="1" customWidth="1"/>
    <col min="9218" max="9218" width="35.7109375" style="1" customWidth="1"/>
    <col min="9219" max="9222" width="10.7109375" style="1" customWidth="1"/>
    <col min="9223" max="9223" width="2.7109375" style="1" customWidth="1"/>
    <col min="9224" max="9227" width="10.7109375" style="1" customWidth="1"/>
    <col min="9228" max="9228" width="2.7109375" style="1" customWidth="1"/>
    <col min="9229" max="9231" width="10.7109375" style="1" customWidth="1"/>
    <col min="9232" max="9232" width="2.7109375" style="1" customWidth="1"/>
    <col min="9233" max="9235" width="10.7109375" style="1" customWidth="1"/>
    <col min="9236" max="9472" width="11.42578125" style="1"/>
    <col min="9473" max="9473" width="11.42578125" style="1" customWidth="1"/>
    <col min="9474" max="9474" width="35.7109375" style="1" customWidth="1"/>
    <col min="9475" max="9478" width="10.7109375" style="1" customWidth="1"/>
    <col min="9479" max="9479" width="2.7109375" style="1" customWidth="1"/>
    <col min="9480" max="9483" width="10.7109375" style="1" customWidth="1"/>
    <col min="9484" max="9484" width="2.7109375" style="1" customWidth="1"/>
    <col min="9485" max="9487" width="10.7109375" style="1" customWidth="1"/>
    <col min="9488" max="9488" width="2.7109375" style="1" customWidth="1"/>
    <col min="9489" max="9491" width="10.7109375" style="1" customWidth="1"/>
    <col min="9492" max="9728" width="11.42578125" style="1"/>
    <col min="9729" max="9729" width="11.42578125" style="1" customWidth="1"/>
    <col min="9730" max="9730" width="35.7109375" style="1" customWidth="1"/>
    <col min="9731" max="9734" width="10.7109375" style="1" customWidth="1"/>
    <col min="9735" max="9735" width="2.7109375" style="1" customWidth="1"/>
    <col min="9736" max="9739" width="10.7109375" style="1" customWidth="1"/>
    <col min="9740" max="9740" width="2.7109375" style="1" customWidth="1"/>
    <col min="9741" max="9743" width="10.7109375" style="1" customWidth="1"/>
    <col min="9744" max="9744" width="2.7109375" style="1" customWidth="1"/>
    <col min="9745" max="9747" width="10.7109375" style="1" customWidth="1"/>
    <col min="9748" max="9984" width="11.42578125" style="1"/>
    <col min="9985" max="9985" width="11.42578125" style="1" customWidth="1"/>
    <col min="9986" max="9986" width="35.7109375" style="1" customWidth="1"/>
    <col min="9987" max="9990" width="10.7109375" style="1" customWidth="1"/>
    <col min="9991" max="9991" width="2.7109375" style="1" customWidth="1"/>
    <col min="9992" max="9995" width="10.7109375" style="1" customWidth="1"/>
    <col min="9996" max="9996" width="2.7109375" style="1" customWidth="1"/>
    <col min="9997" max="9999" width="10.7109375" style="1" customWidth="1"/>
    <col min="10000" max="10000" width="2.7109375" style="1" customWidth="1"/>
    <col min="10001" max="10003" width="10.7109375" style="1" customWidth="1"/>
    <col min="10004" max="10240" width="11.42578125" style="1"/>
    <col min="10241" max="10241" width="11.42578125" style="1" customWidth="1"/>
    <col min="10242" max="10242" width="35.7109375" style="1" customWidth="1"/>
    <col min="10243" max="10246" width="10.7109375" style="1" customWidth="1"/>
    <col min="10247" max="10247" width="2.7109375" style="1" customWidth="1"/>
    <col min="10248" max="10251" width="10.7109375" style="1" customWidth="1"/>
    <col min="10252" max="10252" width="2.7109375" style="1" customWidth="1"/>
    <col min="10253" max="10255" width="10.7109375" style="1" customWidth="1"/>
    <col min="10256" max="10256" width="2.7109375" style="1" customWidth="1"/>
    <col min="10257" max="10259" width="10.7109375" style="1" customWidth="1"/>
    <col min="10260" max="10496" width="11.42578125" style="1"/>
    <col min="10497" max="10497" width="11.42578125" style="1" customWidth="1"/>
    <col min="10498" max="10498" width="35.7109375" style="1" customWidth="1"/>
    <col min="10499" max="10502" width="10.7109375" style="1" customWidth="1"/>
    <col min="10503" max="10503" width="2.7109375" style="1" customWidth="1"/>
    <col min="10504" max="10507" width="10.7109375" style="1" customWidth="1"/>
    <col min="10508" max="10508" width="2.7109375" style="1" customWidth="1"/>
    <col min="10509" max="10511" width="10.7109375" style="1" customWidth="1"/>
    <col min="10512" max="10512" width="2.7109375" style="1" customWidth="1"/>
    <col min="10513" max="10515" width="10.7109375" style="1" customWidth="1"/>
    <col min="10516" max="10752" width="11.42578125" style="1"/>
    <col min="10753" max="10753" width="11.42578125" style="1" customWidth="1"/>
    <col min="10754" max="10754" width="35.7109375" style="1" customWidth="1"/>
    <col min="10755" max="10758" width="10.7109375" style="1" customWidth="1"/>
    <col min="10759" max="10759" width="2.7109375" style="1" customWidth="1"/>
    <col min="10760" max="10763" width="10.7109375" style="1" customWidth="1"/>
    <col min="10764" max="10764" width="2.7109375" style="1" customWidth="1"/>
    <col min="10765" max="10767" width="10.7109375" style="1" customWidth="1"/>
    <col min="10768" max="10768" width="2.7109375" style="1" customWidth="1"/>
    <col min="10769" max="10771" width="10.7109375" style="1" customWidth="1"/>
    <col min="10772" max="11008" width="11.42578125" style="1"/>
    <col min="11009" max="11009" width="11.42578125" style="1" customWidth="1"/>
    <col min="11010" max="11010" width="35.7109375" style="1" customWidth="1"/>
    <col min="11011" max="11014" width="10.7109375" style="1" customWidth="1"/>
    <col min="11015" max="11015" width="2.7109375" style="1" customWidth="1"/>
    <col min="11016" max="11019" width="10.7109375" style="1" customWidth="1"/>
    <col min="11020" max="11020" width="2.7109375" style="1" customWidth="1"/>
    <col min="11021" max="11023" width="10.7109375" style="1" customWidth="1"/>
    <col min="11024" max="11024" width="2.7109375" style="1" customWidth="1"/>
    <col min="11025" max="11027" width="10.7109375" style="1" customWidth="1"/>
    <col min="11028" max="11264" width="11.42578125" style="1"/>
    <col min="11265" max="11265" width="11.42578125" style="1" customWidth="1"/>
    <col min="11266" max="11266" width="35.7109375" style="1" customWidth="1"/>
    <col min="11267" max="11270" width="10.7109375" style="1" customWidth="1"/>
    <col min="11271" max="11271" width="2.7109375" style="1" customWidth="1"/>
    <col min="11272" max="11275" width="10.7109375" style="1" customWidth="1"/>
    <col min="11276" max="11276" width="2.7109375" style="1" customWidth="1"/>
    <col min="11277" max="11279" width="10.7109375" style="1" customWidth="1"/>
    <col min="11280" max="11280" width="2.7109375" style="1" customWidth="1"/>
    <col min="11281" max="11283" width="10.7109375" style="1" customWidth="1"/>
    <col min="11284" max="11520" width="11.42578125" style="1"/>
    <col min="11521" max="11521" width="11.42578125" style="1" customWidth="1"/>
    <col min="11522" max="11522" width="35.7109375" style="1" customWidth="1"/>
    <col min="11523" max="11526" width="10.7109375" style="1" customWidth="1"/>
    <col min="11527" max="11527" width="2.7109375" style="1" customWidth="1"/>
    <col min="11528" max="11531" width="10.7109375" style="1" customWidth="1"/>
    <col min="11532" max="11532" width="2.7109375" style="1" customWidth="1"/>
    <col min="11533" max="11535" width="10.7109375" style="1" customWidth="1"/>
    <col min="11536" max="11536" width="2.7109375" style="1" customWidth="1"/>
    <col min="11537" max="11539" width="10.7109375" style="1" customWidth="1"/>
    <col min="11540" max="11776" width="11.42578125" style="1"/>
    <col min="11777" max="11777" width="11.42578125" style="1" customWidth="1"/>
    <col min="11778" max="11778" width="35.7109375" style="1" customWidth="1"/>
    <col min="11779" max="11782" width="10.7109375" style="1" customWidth="1"/>
    <col min="11783" max="11783" width="2.7109375" style="1" customWidth="1"/>
    <col min="11784" max="11787" width="10.7109375" style="1" customWidth="1"/>
    <col min="11788" max="11788" width="2.7109375" style="1" customWidth="1"/>
    <col min="11789" max="11791" width="10.7109375" style="1" customWidth="1"/>
    <col min="11792" max="11792" width="2.7109375" style="1" customWidth="1"/>
    <col min="11793" max="11795" width="10.7109375" style="1" customWidth="1"/>
    <col min="11796" max="12032" width="11.42578125" style="1"/>
    <col min="12033" max="12033" width="11.42578125" style="1" customWidth="1"/>
    <col min="12034" max="12034" width="35.7109375" style="1" customWidth="1"/>
    <col min="12035" max="12038" width="10.7109375" style="1" customWidth="1"/>
    <col min="12039" max="12039" width="2.7109375" style="1" customWidth="1"/>
    <col min="12040" max="12043" width="10.7109375" style="1" customWidth="1"/>
    <col min="12044" max="12044" width="2.7109375" style="1" customWidth="1"/>
    <col min="12045" max="12047" width="10.7109375" style="1" customWidth="1"/>
    <col min="12048" max="12048" width="2.7109375" style="1" customWidth="1"/>
    <col min="12049" max="12051" width="10.7109375" style="1" customWidth="1"/>
    <col min="12052" max="12288" width="11.42578125" style="1"/>
    <col min="12289" max="12289" width="11.42578125" style="1" customWidth="1"/>
    <col min="12290" max="12290" width="35.7109375" style="1" customWidth="1"/>
    <col min="12291" max="12294" width="10.7109375" style="1" customWidth="1"/>
    <col min="12295" max="12295" width="2.7109375" style="1" customWidth="1"/>
    <col min="12296" max="12299" width="10.7109375" style="1" customWidth="1"/>
    <col min="12300" max="12300" width="2.7109375" style="1" customWidth="1"/>
    <col min="12301" max="12303" width="10.7109375" style="1" customWidth="1"/>
    <col min="12304" max="12304" width="2.7109375" style="1" customWidth="1"/>
    <col min="12305" max="12307" width="10.7109375" style="1" customWidth="1"/>
    <col min="12308" max="12544" width="11.42578125" style="1"/>
    <col min="12545" max="12545" width="11.42578125" style="1" customWidth="1"/>
    <col min="12546" max="12546" width="35.7109375" style="1" customWidth="1"/>
    <col min="12547" max="12550" width="10.7109375" style="1" customWidth="1"/>
    <col min="12551" max="12551" width="2.7109375" style="1" customWidth="1"/>
    <col min="12552" max="12555" width="10.7109375" style="1" customWidth="1"/>
    <col min="12556" max="12556" width="2.7109375" style="1" customWidth="1"/>
    <col min="12557" max="12559" width="10.7109375" style="1" customWidth="1"/>
    <col min="12560" max="12560" width="2.7109375" style="1" customWidth="1"/>
    <col min="12561" max="12563" width="10.7109375" style="1" customWidth="1"/>
    <col min="12564" max="12800" width="11.42578125" style="1"/>
    <col min="12801" max="12801" width="11.42578125" style="1" customWidth="1"/>
    <col min="12802" max="12802" width="35.7109375" style="1" customWidth="1"/>
    <col min="12803" max="12806" width="10.7109375" style="1" customWidth="1"/>
    <col min="12807" max="12807" width="2.7109375" style="1" customWidth="1"/>
    <col min="12808" max="12811" width="10.7109375" style="1" customWidth="1"/>
    <col min="12812" max="12812" width="2.7109375" style="1" customWidth="1"/>
    <col min="12813" max="12815" width="10.7109375" style="1" customWidth="1"/>
    <col min="12816" max="12816" width="2.7109375" style="1" customWidth="1"/>
    <col min="12817" max="12819" width="10.7109375" style="1" customWidth="1"/>
    <col min="12820" max="13056" width="11.42578125" style="1"/>
    <col min="13057" max="13057" width="11.42578125" style="1" customWidth="1"/>
    <col min="13058" max="13058" width="35.7109375" style="1" customWidth="1"/>
    <col min="13059" max="13062" width="10.7109375" style="1" customWidth="1"/>
    <col min="13063" max="13063" width="2.7109375" style="1" customWidth="1"/>
    <col min="13064" max="13067" width="10.7109375" style="1" customWidth="1"/>
    <col min="13068" max="13068" width="2.7109375" style="1" customWidth="1"/>
    <col min="13069" max="13071" width="10.7109375" style="1" customWidth="1"/>
    <col min="13072" max="13072" width="2.7109375" style="1" customWidth="1"/>
    <col min="13073" max="13075" width="10.7109375" style="1" customWidth="1"/>
    <col min="13076" max="13312" width="11.42578125" style="1"/>
    <col min="13313" max="13313" width="11.42578125" style="1" customWidth="1"/>
    <col min="13314" max="13314" width="35.7109375" style="1" customWidth="1"/>
    <col min="13315" max="13318" width="10.7109375" style="1" customWidth="1"/>
    <col min="13319" max="13319" width="2.7109375" style="1" customWidth="1"/>
    <col min="13320" max="13323" width="10.7109375" style="1" customWidth="1"/>
    <col min="13324" max="13324" width="2.7109375" style="1" customWidth="1"/>
    <col min="13325" max="13327" width="10.7109375" style="1" customWidth="1"/>
    <col min="13328" max="13328" width="2.7109375" style="1" customWidth="1"/>
    <col min="13329" max="13331" width="10.7109375" style="1" customWidth="1"/>
    <col min="13332" max="13568" width="11.42578125" style="1"/>
    <col min="13569" max="13569" width="11.42578125" style="1" customWidth="1"/>
    <col min="13570" max="13570" width="35.7109375" style="1" customWidth="1"/>
    <col min="13571" max="13574" width="10.7109375" style="1" customWidth="1"/>
    <col min="13575" max="13575" width="2.7109375" style="1" customWidth="1"/>
    <col min="13576" max="13579" width="10.7109375" style="1" customWidth="1"/>
    <col min="13580" max="13580" width="2.7109375" style="1" customWidth="1"/>
    <col min="13581" max="13583" width="10.7109375" style="1" customWidth="1"/>
    <col min="13584" max="13584" width="2.7109375" style="1" customWidth="1"/>
    <col min="13585" max="13587" width="10.7109375" style="1" customWidth="1"/>
    <col min="13588" max="13824" width="11.42578125" style="1"/>
    <col min="13825" max="13825" width="11.42578125" style="1" customWidth="1"/>
    <col min="13826" max="13826" width="35.7109375" style="1" customWidth="1"/>
    <col min="13827" max="13830" width="10.7109375" style="1" customWidth="1"/>
    <col min="13831" max="13831" width="2.7109375" style="1" customWidth="1"/>
    <col min="13832" max="13835" width="10.7109375" style="1" customWidth="1"/>
    <col min="13836" max="13836" width="2.7109375" style="1" customWidth="1"/>
    <col min="13837" max="13839" width="10.7109375" style="1" customWidth="1"/>
    <col min="13840" max="13840" width="2.7109375" style="1" customWidth="1"/>
    <col min="13841" max="13843" width="10.7109375" style="1" customWidth="1"/>
    <col min="13844" max="14080" width="11.42578125" style="1"/>
    <col min="14081" max="14081" width="11.42578125" style="1" customWidth="1"/>
    <col min="14082" max="14082" width="35.7109375" style="1" customWidth="1"/>
    <col min="14083" max="14086" width="10.7109375" style="1" customWidth="1"/>
    <col min="14087" max="14087" width="2.7109375" style="1" customWidth="1"/>
    <col min="14088" max="14091" width="10.7109375" style="1" customWidth="1"/>
    <col min="14092" max="14092" width="2.7109375" style="1" customWidth="1"/>
    <col min="14093" max="14095" width="10.7109375" style="1" customWidth="1"/>
    <col min="14096" max="14096" width="2.7109375" style="1" customWidth="1"/>
    <col min="14097" max="14099" width="10.7109375" style="1" customWidth="1"/>
    <col min="14100" max="14336" width="11.42578125" style="1"/>
    <col min="14337" max="14337" width="11.42578125" style="1" customWidth="1"/>
    <col min="14338" max="14338" width="35.7109375" style="1" customWidth="1"/>
    <col min="14339" max="14342" width="10.7109375" style="1" customWidth="1"/>
    <col min="14343" max="14343" width="2.7109375" style="1" customWidth="1"/>
    <col min="14344" max="14347" width="10.7109375" style="1" customWidth="1"/>
    <col min="14348" max="14348" width="2.7109375" style="1" customWidth="1"/>
    <col min="14349" max="14351" width="10.7109375" style="1" customWidth="1"/>
    <col min="14352" max="14352" width="2.7109375" style="1" customWidth="1"/>
    <col min="14353" max="14355" width="10.7109375" style="1" customWidth="1"/>
    <col min="14356" max="14592" width="11.42578125" style="1"/>
    <col min="14593" max="14593" width="11.42578125" style="1" customWidth="1"/>
    <col min="14594" max="14594" width="35.7109375" style="1" customWidth="1"/>
    <col min="14595" max="14598" width="10.7109375" style="1" customWidth="1"/>
    <col min="14599" max="14599" width="2.7109375" style="1" customWidth="1"/>
    <col min="14600" max="14603" width="10.7109375" style="1" customWidth="1"/>
    <col min="14604" max="14604" width="2.7109375" style="1" customWidth="1"/>
    <col min="14605" max="14607" width="10.7109375" style="1" customWidth="1"/>
    <col min="14608" max="14608" width="2.7109375" style="1" customWidth="1"/>
    <col min="14609" max="14611" width="10.7109375" style="1" customWidth="1"/>
    <col min="14612" max="14848" width="11.42578125" style="1"/>
    <col min="14849" max="14849" width="11.42578125" style="1" customWidth="1"/>
    <col min="14850" max="14850" width="35.7109375" style="1" customWidth="1"/>
    <col min="14851" max="14854" width="10.7109375" style="1" customWidth="1"/>
    <col min="14855" max="14855" width="2.7109375" style="1" customWidth="1"/>
    <col min="14856" max="14859" width="10.7109375" style="1" customWidth="1"/>
    <col min="14860" max="14860" width="2.7109375" style="1" customWidth="1"/>
    <col min="14861" max="14863" width="10.7109375" style="1" customWidth="1"/>
    <col min="14864" max="14864" width="2.7109375" style="1" customWidth="1"/>
    <col min="14865" max="14867" width="10.7109375" style="1" customWidth="1"/>
    <col min="14868" max="15104" width="11.42578125" style="1"/>
    <col min="15105" max="15105" width="11.42578125" style="1" customWidth="1"/>
    <col min="15106" max="15106" width="35.7109375" style="1" customWidth="1"/>
    <col min="15107" max="15110" width="10.7109375" style="1" customWidth="1"/>
    <col min="15111" max="15111" width="2.7109375" style="1" customWidth="1"/>
    <col min="15112" max="15115" width="10.7109375" style="1" customWidth="1"/>
    <col min="15116" max="15116" width="2.7109375" style="1" customWidth="1"/>
    <col min="15117" max="15119" width="10.7109375" style="1" customWidth="1"/>
    <col min="15120" max="15120" width="2.7109375" style="1" customWidth="1"/>
    <col min="15121" max="15123" width="10.7109375" style="1" customWidth="1"/>
    <col min="15124" max="15360" width="11.42578125" style="1"/>
    <col min="15361" max="15361" width="11.42578125" style="1" customWidth="1"/>
    <col min="15362" max="15362" width="35.7109375" style="1" customWidth="1"/>
    <col min="15363" max="15366" width="10.7109375" style="1" customWidth="1"/>
    <col min="15367" max="15367" width="2.7109375" style="1" customWidth="1"/>
    <col min="15368" max="15371" width="10.7109375" style="1" customWidth="1"/>
    <col min="15372" max="15372" width="2.7109375" style="1" customWidth="1"/>
    <col min="15373" max="15375" width="10.7109375" style="1" customWidth="1"/>
    <col min="15376" max="15376" width="2.7109375" style="1" customWidth="1"/>
    <col min="15377" max="15379" width="10.7109375" style="1" customWidth="1"/>
    <col min="15380" max="15616" width="11.42578125" style="1"/>
    <col min="15617" max="15617" width="11.42578125" style="1" customWidth="1"/>
    <col min="15618" max="15618" width="35.7109375" style="1" customWidth="1"/>
    <col min="15619" max="15622" width="10.7109375" style="1" customWidth="1"/>
    <col min="15623" max="15623" width="2.7109375" style="1" customWidth="1"/>
    <col min="15624" max="15627" width="10.7109375" style="1" customWidth="1"/>
    <col min="15628" max="15628" width="2.7109375" style="1" customWidth="1"/>
    <col min="15629" max="15631" width="10.7109375" style="1" customWidth="1"/>
    <col min="15632" max="15632" width="2.7109375" style="1" customWidth="1"/>
    <col min="15633" max="15635" width="10.7109375" style="1" customWidth="1"/>
    <col min="15636" max="15872" width="11.42578125" style="1"/>
    <col min="15873" max="15873" width="11.42578125" style="1" customWidth="1"/>
    <col min="15874" max="15874" width="35.7109375" style="1" customWidth="1"/>
    <col min="15875" max="15878" width="10.7109375" style="1" customWidth="1"/>
    <col min="15879" max="15879" width="2.7109375" style="1" customWidth="1"/>
    <col min="15880" max="15883" width="10.7109375" style="1" customWidth="1"/>
    <col min="15884" max="15884" width="2.7109375" style="1" customWidth="1"/>
    <col min="15885" max="15887" width="10.7109375" style="1" customWidth="1"/>
    <col min="15888" max="15888" width="2.7109375" style="1" customWidth="1"/>
    <col min="15889" max="15891" width="10.7109375" style="1" customWidth="1"/>
    <col min="15892" max="16128" width="11.42578125" style="1"/>
    <col min="16129" max="16129" width="11.42578125" style="1" customWidth="1"/>
    <col min="16130" max="16130" width="35.7109375" style="1" customWidth="1"/>
    <col min="16131" max="16134" width="10.7109375" style="1" customWidth="1"/>
    <col min="16135" max="16135" width="2.7109375" style="1" customWidth="1"/>
    <col min="16136" max="16139" width="10.7109375" style="1" customWidth="1"/>
    <col min="16140" max="16140" width="2.7109375" style="1" customWidth="1"/>
    <col min="16141" max="16143" width="10.7109375" style="1" customWidth="1"/>
    <col min="16144" max="16144" width="2.7109375" style="1" customWidth="1"/>
    <col min="16145" max="16147" width="10.7109375" style="1" customWidth="1"/>
    <col min="16148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439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15</v>
      </c>
      <c r="B6" s="9" t="s">
        <v>16</v>
      </c>
      <c r="C6" s="9">
        <v>3</v>
      </c>
      <c r="D6" s="9">
        <v>0</v>
      </c>
      <c r="E6" s="9">
        <v>123</v>
      </c>
      <c r="F6" s="9">
        <f t="shared" ref="F6:F69" si="0">SUM(C6:E6)</f>
        <v>126</v>
      </c>
      <c r="H6" s="10">
        <v>119</v>
      </c>
      <c r="I6" s="10">
        <v>0</v>
      </c>
      <c r="J6" s="10">
        <v>129.69</v>
      </c>
      <c r="K6" s="10">
        <v>129.6</v>
      </c>
      <c r="M6" s="10">
        <v>255</v>
      </c>
      <c r="N6" s="10">
        <v>186.37352999999999</v>
      </c>
      <c r="O6" s="10">
        <v>186.96514000000002</v>
      </c>
      <c r="Q6" s="21">
        <v>2142.86</v>
      </c>
      <c r="R6" s="21">
        <v>1583.32</v>
      </c>
      <c r="S6" s="21">
        <v>1588.14</v>
      </c>
    </row>
    <row r="7" spans="1:19" x14ac:dyDescent="0.2">
      <c r="A7" s="9" t="s">
        <v>17</v>
      </c>
      <c r="B7" s="9" t="s">
        <v>18</v>
      </c>
      <c r="C7" s="9">
        <v>2</v>
      </c>
      <c r="D7" s="9">
        <v>0</v>
      </c>
      <c r="E7" s="9">
        <v>22</v>
      </c>
      <c r="F7" s="9">
        <f t="shared" si="0"/>
        <v>24</v>
      </c>
      <c r="H7" s="10">
        <v>101.5</v>
      </c>
      <c r="I7" s="10">
        <v>0</v>
      </c>
      <c r="J7" s="10">
        <v>147.88999999999999</v>
      </c>
      <c r="K7" s="10">
        <v>143.47</v>
      </c>
      <c r="M7" s="10">
        <v>0</v>
      </c>
      <c r="N7" s="10">
        <v>93.076100000000011</v>
      </c>
      <c r="O7" s="10">
        <v>92.64349</v>
      </c>
      <c r="Q7" s="21">
        <v>0</v>
      </c>
      <c r="R7" s="21">
        <v>631.13</v>
      </c>
      <c r="S7" s="21">
        <v>656.37</v>
      </c>
    </row>
    <row r="8" spans="1:19" x14ac:dyDescent="0.2">
      <c r="A8" s="9" t="s">
        <v>19</v>
      </c>
      <c r="B8" s="9" t="s">
        <v>20</v>
      </c>
      <c r="C8" s="9">
        <v>18</v>
      </c>
      <c r="D8" s="9">
        <v>2</v>
      </c>
      <c r="E8" s="9">
        <v>118</v>
      </c>
      <c r="F8" s="9">
        <f t="shared" si="0"/>
        <v>138</v>
      </c>
      <c r="H8" s="10">
        <v>103.47</v>
      </c>
      <c r="I8" s="10">
        <v>97</v>
      </c>
      <c r="J8" s="10">
        <v>94</v>
      </c>
      <c r="K8" s="10">
        <v>95.31</v>
      </c>
      <c r="M8" s="10">
        <v>69.72</v>
      </c>
      <c r="N8" s="10">
        <v>77.933039999999991</v>
      </c>
      <c r="O8" s="10">
        <v>76.813079999999999</v>
      </c>
      <c r="Q8" s="21">
        <v>762.7</v>
      </c>
      <c r="R8" s="21">
        <v>968.45</v>
      </c>
      <c r="S8" s="21">
        <v>940.39</v>
      </c>
    </row>
    <row r="9" spans="1:19" x14ac:dyDescent="0.2">
      <c r="A9" s="9" t="s">
        <v>21</v>
      </c>
      <c r="B9" s="9" t="s">
        <v>22</v>
      </c>
      <c r="C9" s="9">
        <v>21</v>
      </c>
      <c r="D9" s="9">
        <v>0</v>
      </c>
      <c r="E9" s="9">
        <v>66</v>
      </c>
      <c r="F9" s="9">
        <f t="shared" si="0"/>
        <v>87</v>
      </c>
      <c r="H9" s="10">
        <v>95.13</v>
      </c>
      <c r="I9" s="10">
        <v>0</v>
      </c>
      <c r="J9" s="10">
        <v>86.44</v>
      </c>
      <c r="K9" s="10">
        <v>87.68</v>
      </c>
      <c r="M9" s="10">
        <v>38.68036</v>
      </c>
      <c r="N9" s="10">
        <v>50.035899999999998</v>
      </c>
      <c r="O9" s="10">
        <v>48.590650000000004</v>
      </c>
      <c r="Q9" s="21">
        <v>436.23</v>
      </c>
      <c r="R9" s="21">
        <v>582.66999999999996</v>
      </c>
      <c r="S9" s="21">
        <v>564.03</v>
      </c>
    </row>
    <row r="10" spans="1:19" x14ac:dyDescent="0.2">
      <c r="A10" s="9" t="s">
        <v>23</v>
      </c>
      <c r="B10" s="9" t="s">
        <v>24</v>
      </c>
      <c r="C10" s="9">
        <v>1</v>
      </c>
      <c r="D10" s="9">
        <v>0</v>
      </c>
      <c r="E10" s="9">
        <v>12</v>
      </c>
      <c r="F10" s="9">
        <f t="shared" si="0"/>
        <v>13</v>
      </c>
      <c r="H10" s="10">
        <v>0</v>
      </c>
      <c r="I10" s="10">
        <v>0</v>
      </c>
      <c r="J10" s="10">
        <v>90.6</v>
      </c>
      <c r="K10" s="10">
        <v>90.6</v>
      </c>
      <c r="M10" s="10">
        <v>0</v>
      </c>
      <c r="N10" s="10">
        <v>97.64</v>
      </c>
      <c r="O10" s="10">
        <v>97.64</v>
      </c>
      <c r="Q10" s="21">
        <v>0</v>
      </c>
      <c r="R10" s="21">
        <v>1073.7</v>
      </c>
      <c r="S10" s="21">
        <v>1073.7</v>
      </c>
    </row>
    <row r="11" spans="1:19" x14ac:dyDescent="0.2">
      <c r="A11" s="9" t="s">
        <v>25</v>
      </c>
      <c r="B11" s="9" t="s">
        <v>26</v>
      </c>
      <c r="C11" s="9">
        <v>13</v>
      </c>
      <c r="D11" s="9">
        <v>0</v>
      </c>
      <c r="E11" s="9">
        <v>97</v>
      </c>
      <c r="F11" s="9">
        <f t="shared" si="0"/>
        <v>110</v>
      </c>
      <c r="H11" s="10">
        <v>200.5</v>
      </c>
      <c r="I11" s="10">
        <v>0</v>
      </c>
      <c r="J11" s="10">
        <v>191.69</v>
      </c>
      <c r="K11" s="10">
        <v>192.78</v>
      </c>
      <c r="M11" s="10">
        <v>470.90721000000002</v>
      </c>
      <c r="N11" s="10">
        <v>447.44202000000001</v>
      </c>
      <c r="O11" s="10">
        <v>450.34492999999998</v>
      </c>
      <c r="Q11" s="21">
        <v>2690.83</v>
      </c>
      <c r="R11" s="21">
        <v>2545.87</v>
      </c>
      <c r="S11" s="21">
        <v>2563.8000000000002</v>
      </c>
    </row>
    <row r="12" spans="1:19" x14ac:dyDescent="0.2">
      <c r="A12" s="9" t="s">
        <v>27</v>
      </c>
      <c r="B12" s="9" t="s">
        <v>28</v>
      </c>
      <c r="C12" s="9">
        <v>12</v>
      </c>
      <c r="D12" s="9">
        <v>1</v>
      </c>
      <c r="E12" s="9">
        <v>26</v>
      </c>
      <c r="F12" s="9">
        <f t="shared" si="0"/>
        <v>39</v>
      </c>
      <c r="H12" s="10">
        <v>132.13</v>
      </c>
      <c r="I12" s="10">
        <v>0</v>
      </c>
      <c r="J12" s="10">
        <v>116.91</v>
      </c>
      <c r="K12" s="10">
        <v>120.97</v>
      </c>
      <c r="M12" s="10">
        <v>69.893749999999997</v>
      </c>
      <c r="N12" s="10">
        <v>65.59944999999999</v>
      </c>
      <c r="O12" s="10">
        <v>67.03088000000001</v>
      </c>
      <c r="Q12" s="21">
        <v>666.95</v>
      </c>
      <c r="R12" s="21">
        <v>530.34</v>
      </c>
      <c r="S12" s="21">
        <v>575.88</v>
      </c>
    </row>
    <row r="13" spans="1:19" x14ac:dyDescent="0.2">
      <c r="A13" s="9" t="s">
        <v>29</v>
      </c>
      <c r="B13" s="9" t="s">
        <v>30</v>
      </c>
      <c r="C13" s="9">
        <v>8</v>
      </c>
      <c r="D13" s="9">
        <v>0</v>
      </c>
      <c r="E13" s="9">
        <v>43</v>
      </c>
      <c r="F13" s="9">
        <f t="shared" si="0"/>
        <v>51</v>
      </c>
      <c r="H13" s="10">
        <v>166.4</v>
      </c>
      <c r="I13" s="10">
        <v>0</v>
      </c>
      <c r="J13" s="10">
        <v>166.91</v>
      </c>
      <c r="K13" s="10">
        <v>166.84</v>
      </c>
      <c r="M13" s="10">
        <v>136.6</v>
      </c>
      <c r="N13" s="10">
        <v>148.92563000000001</v>
      </c>
      <c r="O13" s="10">
        <v>147.26</v>
      </c>
      <c r="Q13" s="21">
        <v>751.63</v>
      </c>
      <c r="R13" s="21">
        <v>1011.02</v>
      </c>
      <c r="S13" s="21">
        <v>975.97</v>
      </c>
    </row>
    <row r="14" spans="1:19" x14ac:dyDescent="0.2">
      <c r="A14" s="9" t="s">
        <v>31</v>
      </c>
      <c r="B14" s="9" t="s">
        <v>32</v>
      </c>
      <c r="C14" s="9">
        <v>28</v>
      </c>
      <c r="D14" s="9">
        <v>0</v>
      </c>
      <c r="E14" s="9">
        <v>99</v>
      </c>
      <c r="F14" s="9">
        <f t="shared" si="0"/>
        <v>127</v>
      </c>
      <c r="H14" s="10">
        <v>149.36000000000001</v>
      </c>
      <c r="I14" s="10">
        <v>0</v>
      </c>
      <c r="J14" s="10">
        <v>108.8</v>
      </c>
      <c r="K14" s="10">
        <v>118.68</v>
      </c>
      <c r="M14" s="10">
        <v>212.48429999999999</v>
      </c>
      <c r="N14" s="10">
        <v>186.87755999999999</v>
      </c>
      <c r="O14" s="10">
        <v>193.33692000000002</v>
      </c>
      <c r="Q14" s="21">
        <v>1613.98</v>
      </c>
      <c r="R14" s="21">
        <v>1999.96</v>
      </c>
      <c r="S14" s="21">
        <v>1902.6</v>
      </c>
    </row>
    <row r="15" spans="1:19" x14ac:dyDescent="0.2">
      <c r="A15" s="9" t="s">
        <v>33</v>
      </c>
      <c r="B15" s="9" t="s">
        <v>34</v>
      </c>
      <c r="C15" s="9">
        <v>7</v>
      </c>
      <c r="D15" s="9">
        <v>0</v>
      </c>
      <c r="E15" s="9">
        <v>157</v>
      </c>
      <c r="F15" s="9">
        <f t="shared" si="0"/>
        <v>164</v>
      </c>
      <c r="H15" s="10">
        <v>127.14</v>
      </c>
      <c r="I15" s="10">
        <v>0</v>
      </c>
      <c r="J15" s="10">
        <v>90.78</v>
      </c>
      <c r="K15" s="10">
        <v>92.37</v>
      </c>
      <c r="M15" s="10">
        <v>148.16428999999999</v>
      </c>
      <c r="N15" s="10">
        <v>146.54876000000002</v>
      </c>
      <c r="O15" s="10">
        <v>146.62079</v>
      </c>
      <c r="Q15" s="21">
        <v>1234.23</v>
      </c>
      <c r="R15" s="21">
        <v>1676.64</v>
      </c>
      <c r="S15" s="21">
        <v>1656.91</v>
      </c>
    </row>
    <row r="16" spans="1:19" x14ac:dyDescent="0.2">
      <c r="A16" s="9" t="s">
        <v>35</v>
      </c>
      <c r="B16" s="9" t="s">
        <v>36</v>
      </c>
      <c r="C16" s="9">
        <v>20</v>
      </c>
      <c r="D16" s="9">
        <v>0</v>
      </c>
      <c r="E16" s="9">
        <v>83</v>
      </c>
      <c r="F16" s="9">
        <f t="shared" si="0"/>
        <v>103</v>
      </c>
      <c r="H16" s="10">
        <v>198.21</v>
      </c>
      <c r="I16" s="10">
        <v>0</v>
      </c>
      <c r="J16" s="10">
        <v>199.96</v>
      </c>
      <c r="K16" s="10">
        <v>199.61</v>
      </c>
      <c r="M16" s="10">
        <v>235.37367999999998</v>
      </c>
      <c r="N16" s="10">
        <v>284.07597999999996</v>
      </c>
      <c r="O16" s="10">
        <v>274.2319</v>
      </c>
      <c r="Q16" s="21">
        <v>1393.54</v>
      </c>
      <c r="R16" s="21">
        <v>1472.61</v>
      </c>
      <c r="S16" s="21">
        <v>1456.63</v>
      </c>
    </row>
    <row r="17" spans="1:19" x14ac:dyDescent="0.2">
      <c r="A17" s="9" t="s">
        <v>37</v>
      </c>
      <c r="B17" s="9" t="s">
        <v>38</v>
      </c>
      <c r="C17" s="9">
        <v>8</v>
      </c>
      <c r="D17" s="9">
        <v>0</v>
      </c>
      <c r="E17" s="9">
        <v>240</v>
      </c>
      <c r="F17" s="9">
        <f t="shared" si="0"/>
        <v>248</v>
      </c>
      <c r="H17" s="10">
        <v>48.67</v>
      </c>
      <c r="I17" s="10">
        <v>0</v>
      </c>
      <c r="J17" s="10">
        <v>85.65</v>
      </c>
      <c r="K17" s="10">
        <v>84.64</v>
      </c>
      <c r="M17" s="10">
        <v>38.317329999999998</v>
      </c>
      <c r="N17" s="10">
        <v>52.884419999999999</v>
      </c>
      <c r="O17" s="10">
        <v>52.470190000000002</v>
      </c>
      <c r="Q17" s="21">
        <v>830.65</v>
      </c>
      <c r="R17" s="21">
        <v>622.13</v>
      </c>
      <c r="S17" s="21">
        <v>628.05999999999995</v>
      </c>
    </row>
    <row r="18" spans="1:19" x14ac:dyDescent="0.2">
      <c r="A18" s="9" t="s">
        <v>39</v>
      </c>
      <c r="B18" s="9" t="s">
        <v>40</v>
      </c>
      <c r="C18" s="9">
        <v>6</v>
      </c>
      <c r="D18" s="9">
        <v>0</v>
      </c>
      <c r="E18" s="9">
        <v>48</v>
      </c>
      <c r="F18" s="9">
        <f t="shared" si="0"/>
        <v>54</v>
      </c>
      <c r="H18" s="10">
        <v>147</v>
      </c>
      <c r="I18" s="10">
        <v>0</v>
      </c>
      <c r="J18" s="10">
        <v>97.61</v>
      </c>
      <c r="K18" s="10">
        <v>100.76</v>
      </c>
      <c r="M18" s="10">
        <v>71.349999999999994</v>
      </c>
      <c r="N18" s="10">
        <v>108.8442</v>
      </c>
      <c r="O18" s="10">
        <v>106.39892999999999</v>
      </c>
      <c r="Q18" s="21">
        <v>662.28</v>
      </c>
      <c r="R18" s="21">
        <v>1245.49</v>
      </c>
      <c r="S18" s="21">
        <v>1207.45</v>
      </c>
    </row>
    <row r="19" spans="1:19" x14ac:dyDescent="0.2">
      <c r="A19" s="9" t="s">
        <v>41</v>
      </c>
      <c r="B19" s="9" t="s">
        <v>42</v>
      </c>
      <c r="C19" s="9">
        <v>4</v>
      </c>
      <c r="D19" s="9">
        <v>2</v>
      </c>
      <c r="E19" s="9">
        <v>33</v>
      </c>
      <c r="F19" s="9">
        <f t="shared" si="0"/>
        <v>39</v>
      </c>
      <c r="H19" s="10">
        <v>103</v>
      </c>
      <c r="I19" s="10">
        <v>89</v>
      </c>
      <c r="J19" s="10">
        <v>94.22</v>
      </c>
      <c r="K19" s="10">
        <v>94.97</v>
      </c>
      <c r="M19" s="10">
        <v>57.5</v>
      </c>
      <c r="N19" s="10">
        <v>77.662189999999995</v>
      </c>
      <c r="O19" s="10">
        <v>74.436240000000012</v>
      </c>
      <c r="Q19" s="21">
        <v>500.29</v>
      </c>
      <c r="R19" s="21">
        <v>826.33</v>
      </c>
      <c r="S19" s="21">
        <v>774.16</v>
      </c>
    </row>
    <row r="20" spans="1:19" x14ac:dyDescent="0.2">
      <c r="A20" s="9" t="s">
        <v>43</v>
      </c>
      <c r="B20" s="9" t="s">
        <v>44</v>
      </c>
      <c r="C20" s="9">
        <v>2</v>
      </c>
      <c r="D20" s="9">
        <v>0</v>
      </c>
      <c r="E20" s="9">
        <v>27</v>
      </c>
      <c r="F20" s="9">
        <f t="shared" si="0"/>
        <v>29</v>
      </c>
      <c r="H20" s="10">
        <v>100.5</v>
      </c>
      <c r="I20" s="10">
        <v>0</v>
      </c>
      <c r="J20" s="10">
        <v>106.44</v>
      </c>
      <c r="K20" s="10">
        <v>106</v>
      </c>
      <c r="M20" s="10">
        <v>0</v>
      </c>
      <c r="N20" s="10">
        <v>102.72685</v>
      </c>
      <c r="O20" s="10">
        <v>99.268699999999995</v>
      </c>
      <c r="Q20" s="21">
        <v>0</v>
      </c>
      <c r="R20" s="21">
        <v>974.94</v>
      </c>
      <c r="S20" s="21">
        <v>944.2</v>
      </c>
    </row>
    <row r="21" spans="1:19" x14ac:dyDescent="0.2">
      <c r="A21" s="9" t="s">
        <v>45</v>
      </c>
      <c r="B21" s="9" t="s">
        <v>46</v>
      </c>
      <c r="C21" s="9">
        <v>89</v>
      </c>
      <c r="D21" s="9">
        <v>5</v>
      </c>
      <c r="E21" s="9">
        <v>170</v>
      </c>
      <c r="F21" s="9">
        <f t="shared" si="0"/>
        <v>264</v>
      </c>
      <c r="H21" s="10">
        <v>102.54</v>
      </c>
      <c r="I21" s="10">
        <v>75.5</v>
      </c>
      <c r="J21" s="10">
        <v>100.25</v>
      </c>
      <c r="K21" s="10">
        <v>100.6</v>
      </c>
      <c r="M21" s="10">
        <v>225.88798</v>
      </c>
      <c r="N21" s="10">
        <v>216.58935</v>
      </c>
      <c r="O21" s="10">
        <v>219.81124</v>
      </c>
      <c r="Q21" s="21">
        <v>2433.39</v>
      </c>
      <c r="R21" s="21">
        <v>2198</v>
      </c>
      <c r="S21" s="21">
        <v>2279.56</v>
      </c>
    </row>
    <row r="22" spans="1:19" x14ac:dyDescent="0.2">
      <c r="A22" s="9" t="s">
        <v>47</v>
      </c>
      <c r="B22" s="9" t="s">
        <v>48</v>
      </c>
      <c r="C22" s="9">
        <v>19</v>
      </c>
      <c r="D22" s="9">
        <v>0</v>
      </c>
      <c r="E22" s="9">
        <v>77</v>
      </c>
      <c r="F22" s="9">
        <f t="shared" si="0"/>
        <v>96</v>
      </c>
      <c r="H22" s="10">
        <v>109.58</v>
      </c>
      <c r="I22" s="10">
        <v>0</v>
      </c>
      <c r="J22" s="10">
        <v>119.92</v>
      </c>
      <c r="K22" s="10">
        <v>117.78</v>
      </c>
      <c r="M22" s="10">
        <v>183.31332</v>
      </c>
      <c r="N22" s="10">
        <v>204.15426000000002</v>
      </c>
      <c r="O22" s="10">
        <v>199.70507000000001</v>
      </c>
      <c r="Q22" s="21">
        <v>1736.36</v>
      </c>
      <c r="R22" s="21">
        <v>1712.38</v>
      </c>
      <c r="S22" s="21">
        <v>1717.5</v>
      </c>
    </row>
    <row r="23" spans="1:19" x14ac:dyDescent="0.2">
      <c r="A23" s="9" t="s">
        <v>49</v>
      </c>
      <c r="B23" s="9" t="s">
        <v>50</v>
      </c>
      <c r="C23" s="9">
        <v>32</v>
      </c>
      <c r="D23" s="9">
        <v>0</v>
      </c>
      <c r="E23" s="9">
        <v>92</v>
      </c>
      <c r="F23" s="9">
        <f t="shared" si="0"/>
        <v>124</v>
      </c>
      <c r="H23" s="10">
        <v>163.71</v>
      </c>
      <c r="I23" s="10">
        <v>0</v>
      </c>
      <c r="J23" s="10">
        <v>125.45</v>
      </c>
      <c r="K23" s="10">
        <v>133.57</v>
      </c>
      <c r="M23" s="10">
        <v>201.90476000000001</v>
      </c>
      <c r="N23" s="10">
        <v>243.18323000000001</v>
      </c>
      <c r="O23" s="10">
        <v>234.42719</v>
      </c>
      <c r="Q23" s="21">
        <v>1574.82</v>
      </c>
      <c r="R23" s="21">
        <v>2090.64</v>
      </c>
      <c r="S23" s="21">
        <v>1981.22</v>
      </c>
    </row>
    <row r="24" spans="1:19" x14ac:dyDescent="0.2">
      <c r="A24" s="9" t="s">
        <v>51</v>
      </c>
      <c r="B24" s="9" t="s">
        <v>52</v>
      </c>
      <c r="C24" s="9">
        <v>20</v>
      </c>
      <c r="D24" s="9">
        <v>0</v>
      </c>
      <c r="E24" s="9">
        <v>39</v>
      </c>
      <c r="F24" s="9">
        <f t="shared" si="0"/>
        <v>59</v>
      </c>
      <c r="H24" s="10">
        <v>169.89</v>
      </c>
      <c r="I24" s="10">
        <v>0</v>
      </c>
      <c r="J24" s="10">
        <v>111.84</v>
      </c>
      <c r="K24" s="10">
        <v>124.58</v>
      </c>
      <c r="M24" s="10">
        <v>167.62226000000001</v>
      </c>
      <c r="N24" s="10">
        <v>155.63179</v>
      </c>
      <c r="O24" s="10">
        <v>158.32964999999999</v>
      </c>
      <c r="Q24" s="21">
        <v>975.2</v>
      </c>
      <c r="R24" s="21">
        <v>1596.06</v>
      </c>
      <c r="S24" s="21">
        <v>1456.37</v>
      </c>
    </row>
    <row r="25" spans="1:19" x14ac:dyDescent="0.2">
      <c r="A25" s="9" t="s">
        <v>53</v>
      </c>
      <c r="B25" s="9" t="s">
        <v>54</v>
      </c>
      <c r="C25" s="9">
        <v>622</v>
      </c>
      <c r="D25" s="9">
        <v>258</v>
      </c>
      <c r="E25" s="9">
        <v>1683</v>
      </c>
      <c r="F25" s="9">
        <f t="shared" si="0"/>
        <v>2563</v>
      </c>
      <c r="H25" s="10">
        <v>91.88</v>
      </c>
      <c r="I25" s="10">
        <v>86.05</v>
      </c>
      <c r="J25" s="10">
        <v>75.569999999999993</v>
      </c>
      <c r="K25" s="10">
        <v>80.45</v>
      </c>
      <c r="M25" s="10">
        <v>203.04935</v>
      </c>
      <c r="N25" s="10">
        <v>156.14678000000001</v>
      </c>
      <c r="O25" s="10">
        <v>169.7509</v>
      </c>
      <c r="Q25" s="21">
        <v>2254.09</v>
      </c>
      <c r="R25" s="21">
        <v>2031.89</v>
      </c>
      <c r="S25" s="21">
        <v>2096.34</v>
      </c>
    </row>
    <row r="26" spans="1:19" x14ac:dyDescent="0.2">
      <c r="A26" s="9" t="s">
        <v>55</v>
      </c>
      <c r="B26" s="9" t="s">
        <v>56</v>
      </c>
      <c r="C26" s="9">
        <v>0</v>
      </c>
      <c r="D26" s="9">
        <v>9</v>
      </c>
      <c r="E26" s="9">
        <v>77</v>
      </c>
      <c r="F26" s="9">
        <f t="shared" si="0"/>
        <v>86</v>
      </c>
      <c r="H26" s="10">
        <v>0</v>
      </c>
      <c r="I26" s="10">
        <v>76.17</v>
      </c>
      <c r="J26" s="10">
        <v>79.61</v>
      </c>
      <c r="K26" s="10">
        <v>79.319999999999993</v>
      </c>
      <c r="M26" s="10">
        <v>0</v>
      </c>
      <c r="N26" s="10">
        <v>129.69637</v>
      </c>
      <c r="O26" s="10">
        <v>129.69637</v>
      </c>
      <c r="Q26" s="21">
        <v>0</v>
      </c>
      <c r="R26" s="21">
        <v>1584.01</v>
      </c>
      <c r="S26" s="21">
        <v>1584.01</v>
      </c>
    </row>
    <row r="27" spans="1:19" x14ac:dyDescent="0.2">
      <c r="A27" s="9" t="s">
        <v>57</v>
      </c>
      <c r="B27" s="9" t="s">
        <v>58</v>
      </c>
      <c r="C27" s="9">
        <v>11</v>
      </c>
      <c r="D27" s="9">
        <v>1</v>
      </c>
      <c r="E27" s="9">
        <v>109</v>
      </c>
      <c r="F27" s="9">
        <f t="shared" si="0"/>
        <v>121</v>
      </c>
      <c r="H27" s="10">
        <v>67.22</v>
      </c>
      <c r="I27" s="10">
        <v>105</v>
      </c>
      <c r="J27" s="10">
        <v>83.59</v>
      </c>
      <c r="K27" s="10">
        <v>82.43</v>
      </c>
      <c r="M27" s="10">
        <v>46.193750000000001</v>
      </c>
      <c r="N27" s="10">
        <v>55.434919999999998</v>
      </c>
      <c r="O27" s="10">
        <v>54.565160000000006</v>
      </c>
      <c r="Q27" s="21">
        <v>727.58</v>
      </c>
      <c r="R27" s="21">
        <v>672.47</v>
      </c>
      <c r="S27" s="21">
        <v>677.66</v>
      </c>
    </row>
    <row r="28" spans="1:19" x14ac:dyDescent="0.2">
      <c r="A28" s="9" t="s">
        <v>59</v>
      </c>
      <c r="B28" s="9" t="s">
        <v>60</v>
      </c>
      <c r="C28" s="9">
        <v>61</v>
      </c>
      <c r="D28" s="9">
        <v>10</v>
      </c>
      <c r="E28" s="9">
        <v>110</v>
      </c>
      <c r="F28" s="9">
        <f t="shared" si="0"/>
        <v>181</v>
      </c>
      <c r="H28" s="10">
        <v>116.34</v>
      </c>
      <c r="I28" s="10">
        <v>86.75</v>
      </c>
      <c r="J28" s="10">
        <v>106.37</v>
      </c>
      <c r="K28" s="10">
        <v>108.85</v>
      </c>
      <c r="M28" s="10">
        <v>134.16379000000001</v>
      </c>
      <c r="N28" s="10">
        <v>135.55444</v>
      </c>
      <c r="O28" s="10">
        <v>135.00198999999998</v>
      </c>
      <c r="Q28" s="21">
        <v>1266.46</v>
      </c>
      <c r="R28" s="21">
        <v>1321.43</v>
      </c>
      <c r="S28" s="21">
        <v>1299.5899999999999</v>
      </c>
    </row>
    <row r="29" spans="1:19" x14ac:dyDescent="0.2">
      <c r="A29" s="9" t="s">
        <v>61</v>
      </c>
      <c r="B29" s="9" t="s">
        <v>62</v>
      </c>
      <c r="C29" s="9">
        <v>15</v>
      </c>
      <c r="D29" s="9">
        <v>2</v>
      </c>
      <c r="E29" s="9">
        <v>414</v>
      </c>
      <c r="F29" s="9">
        <f t="shared" si="0"/>
        <v>431</v>
      </c>
      <c r="H29" s="10">
        <v>88.83</v>
      </c>
      <c r="I29" s="10">
        <v>47</v>
      </c>
      <c r="J29" s="10">
        <v>94.72</v>
      </c>
      <c r="K29" s="10">
        <v>94.43</v>
      </c>
      <c r="M29" s="10">
        <v>177.37325000000001</v>
      </c>
      <c r="N29" s="10">
        <v>168.97173000000001</v>
      </c>
      <c r="O29" s="10">
        <v>169.25733</v>
      </c>
      <c r="Q29" s="21">
        <v>2145.5300000000002</v>
      </c>
      <c r="R29" s="21">
        <v>1804.7</v>
      </c>
      <c r="S29" s="21">
        <v>1816.29</v>
      </c>
    </row>
    <row r="30" spans="1:19" x14ac:dyDescent="0.2">
      <c r="A30" s="9" t="s">
        <v>63</v>
      </c>
      <c r="B30" s="9" t="s">
        <v>64</v>
      </c>
      <c r="C30" s="9">
        <v>994</v>
      </c>
      <c r="D30" s="9">
        <v>40</v>
      </c>
      <c r="E30" s="9">
        <v>12757</v>
      </c>
      <c r="F30" s="9">
        <f t="shared" si="0"/>
        <v>13791</v>
      </c>
      <c r="H30" s="10">
        <v>82.21</v>
      </c>
      <c r="I30" s="10">
        <v>76.03</v>
      </c>
      <c r="J30" s="10">
        <v>77.959999999999994</v>
      </c>
      <c r="K30" s="10">
        <v>78.260000000000005</v>
      </c>
      <c r="M30" s="10">
        <v>378.68420000000003</v>
      </c>
      <c r="N30" s="10">
        <v>335.44081</v>
      </c>
      <c r="O30" s="10">
        <v>339.77883000000003</v>
      </c>
      <c r="Q30" s="21">
        <v>4415.91</v>
      </c>
      <c r="R30" s="21">
        <v>3948.39</v>
      </c>
      <c r="S30" s="21">
        <v>3995.29</v>
      </c>
    </row>
    <row r="31" spans="1:19" x14ac:dyDescent="0.2">
      <c r="A31" s="9" t="s">
        <v>65</v>
      </c>
      <c r="B31" s="9" t="s">
        <v>66</v>
      </c>
      <c r="C31" s="9">
        <v>0</v>
      </c>
      <c r="D31" s="9">
        <v>0</v>
      </c>
      <c r="E31" s="9">
        <v>68</v>
      </c>
      <c r="F31" s="9">
        <f t="shared" si="0"/>
        <v>68</v>
      </c>
      <c r="H31" s="10">
        <v>0</v>
      </c>
      <c r="I31" s="10">
        <v>0</v>
      </c>
      <c r="J31" s="10">
        <v>182.44</v>
      </c>
      <c r="K31" s="10">
        <v>182.44</v>
      </c>
      <c r="M31" s="10">
        <v>0</v>
      </c>
      <c r="N31" s="10">
        <v>311.27962000000002</v>
      </c>
      <c r="O31" s="10">
        <v>311.27962000000002</v>
      </c>
      <c r="Q31" s="21">
        <v>0</v>
      </c>
      <c r="R31" s="21">
        <v>1906.57</v>
      </c>
      <c r="S31" s="21">
        <v>1906.57</v>
      </c>
    </row>
    <row r="32" spans="1:19" x14ac:dyDescent="0.2">
      <c r="A32" s="9" t="s">
        <v>67</v>
      </c>
      <c r="B32" s="9" t="s">
        <v>68</v>
      </c>
      <c r="C32" s="9">
        <v>12</v>
      </c>
      <c r="D32" s="9">
        <v>0</v>
      </c>
      <c r="E32" s="9">
        <v>111</v>
      </c>
      <c r="F32" s="9">
        <f t="shared" si="0"/>
        <v>123</v>
      </c>
      <c r="H32" s="10">
        <v>84.33</v>
      </c>
      <c r="I32" s="10">
        <v>0</v>
      </c>
      <c r="J32" s="10">
        <v>89.61</v>
      </c>
      <c r="K32" s="10">
        <v>89.17</v>
      </c>
      <c r="M32" s="10">
        <v>126.21058000000001</v>
      </c>
      <c r="N32" s="10">
        <v>85.635550000000009</v>
      </c>
      <c r="O32" s="10">
        <v>89.113410000000002</v>
      </c>
      <c r="Q32" s="21">
        <v>1471.35</v>
      </c>
      <c r="R32" s="21">
        <v>926.13</v>
      </c>
      <c r="S32" s="21">
        <v>972.86</v>
      </c>
    </row>
    <row r="33" spans="1:19" x14ac:dyDescent="0.2">
      <c r="A33" s="9" t="s">
        <v>69</v>
      </c>
      <c r="B33" s="9" t="s">
        <v>70</v>
      </c>
      <c r="C33" s="9">
        <v>24</v>
      </c>
      <c r="D33" s="9">
        <v>0</v>
      </c>
      <c r="E33" s="9">
        <v>100</v>
      </c>
      <c r="F33" s="9">
        <f t="shared" si="0"/>
        <v>124</v>
      </c>
      <c r="H33" s="10">
        <v>196.38</v>
      </c>
      <c r="I33" s="10">
        <v>0</v>
      </c>
      <c r="J33" s="10">
        <v>159.74</v>
      </c>
      <c r="K33" s="10">
        <v>166.86</v>
      </c>
      <c r="M33" s="10">
        <v>172.57092</v>
      </c>
      <c r="N33" s="10">
        <v>183.83670000000001</v>
      </c>
      <c r="O33" s="10">
        <v>181.66623000000001</v>
      </c>
      <c r="Q33" s="21">
        <v>976.62</v>
      </c>
      <c r="R33" s="21">
        <v>1250.5899999999999</v>
      </c>
      <c r="S33" s="21">
        <v>1197.81</v>
      </c>
    </row>
    <row r="34" spans="1:19" x14ac:dyDescent="0.2">
      <c r="A34" s="9" t="s">
        <v>71</v>
      </c>
      <c r="B34" s="9" t="s">
        <v>72</v>
      </c>
      <c r="C34" s="9">
        <v>16</v>
      </c>
      <c r="D34" s="9">
        <v>1</v>
      </c>
      <c r="E34" s="9">
        <v>86</v>
      </c>
      <c r="F34" s="9">
        <f t="shared" si="0"/>
        <v>103</v>
      </c>
      <c r="H34" s="10">
        <v>136</v>
      </c>
      <c r="I34" s="10">
        <v>90</v>
      </c>
      <c r="J34" s="10">
        <v>111.8</v>
      </c>
      <c r="K34" s="10">
        <v>115.21</v>
      </c>
      <c r="M34" s="10">
        <v>107.53617</v>
      </c>
      <c r="N34" s="10">
        <v>108.20903999999999</v>
      </c>
      <c r="O34" s="10">
        <v>108.09689</v>
      </c>
      <c r="Q34" s="21">
        <v>767.65</v>
      </c>
      <c r="R34" s="21">
        <v>887.21</v>
      </c>
      <c r="S34" s="21">
        <v>867.28</v>
      </c>
    </row>
    <row r="35" spans="1:19" x14ac:dyDescent="0.2">
      <c r="A35" s="9" t="s">
        <v>73</v>
      </c>
      <c r="B35" s="9" t="s">
        <v>74</v>
      </c>
      <c r="C35" s="9">
        <v>50</v>
      </c>
      <c r="D35" s="9">
        <v>1</v>
      </c>
      <c r="E35" s="9">
        <v>521</v>
      </c>
      <c r="F35" s="9">
        <f t="shared" si="0"/>
        <v>572</v>
      </c>
      <c r="H35" s="10">
        <v>77.12</v>
      </c>
      <c r="I35" s="10">
        <v>82</v>
      </c>
      <c r="J35" s="10">
        <v>73.209999999999994</v>
      </c>
      <c r="K35" s="10">
        <v>73.55</v>
      </c>
      <c r="M35" s="10">
        <v>146.01651000000001</v>
      </c>
      <c r="N35" s="10">
        <v>120.35791</v>
      </c>
      <c r="O35" s="10">
        <v>122.49613000000001</v>
      </c>
      <c r="Q35" s="21">
        <v>1942.36</v>
      </c>
      <c r="R35" s="21">
        <v>1710.22</v>
      </c>
      <c r="S35" s="21">
        <v>1729.56</v>
      </c>
    </row>
    <row r="36" spans="1:19" x14ac:dyDescent="0.2">
      <c r="A36" s="9" t="s">
        <v>75</v>
      </c>
      <c r="B36" s="9" t="s">
        <v>76</v>
      </c>
      <c r="C36" s="9">
        <v>10</v>
      </c>
      <c r="D36" s="9">
        <v>0</v>
      </c>
      <c r="E36" s="9">
        <v>32</v>
      </c>
      <c r="F36" s="9">
        <f t="shared" si="0"/>
        <v>42</v>
      </c>
      <c r="H36" s="10">
        <v>104.8</v>
      </c>
      <c r="I36" s="10">
        <v>0</v>
      </c>
      <c r="J36" s="10">
        <v>105</v>
      </c>
      <c r="K36" s="10">
        <v>104.94</v>
      </c>
      <c r="M36" s="10">
        <v>61.678089999999997</v>
      </c>
      <c r="N36" s="10">
        <v>66.917369999999991</v>
      </c>
      <c r="O36" s="10">
        <v>65.110720000000001</v>
      </c>
      <c r="Q36" s="21">
        <v>639.86</v>
      </c>
      <c r="R36" s="21">
        <v>648.6</v>
      </c>
      <c r="S36" s="21">
        <v>645.59</v>
      </c>
    </row>
    <row r="37" spans="1:19" x14ac:dyDescent="0.2">
      <c r="A37" s="9" t="s">
        <v>77</v>
      </c>
      <c r="B37" s="9" t="s">
        <v>78</v>
      </c>
      <c r="C37" s="9">
        <v>1</v>
      </c>
      <c r="D37" s="9">
        <v>0</v>
      </c>
      <c r="E37" s="9">
        <v>87</v>
      </c>
      <c r="F37" s="9">
        <f t="shared" si="0"/>
        <v>88</v>
      </c>
      <c r="H37" s="10">
        <v>173</v>
      </c>
      <c r="I37" s="10">
        <v>0</v>
      </c>
      <c r="J37" s="10">
        <v>206.7</v>
      </c>
      <c r="K37" s="10">
        <v>206.28</v>
      </c>
      <c r="M37" s="10">
        <v>0</v>
      </c>
      <c r="N37" s="10">
        <v>424.45253000000002</v>
      </c>
      <c r="O37" s="10">
        <v>426.02189000000004</v>
      </c>
      <c r="Q37" s="21">
        <v>0</v>
      </c>
      <c r="R37" s="21">
        <v>2243.27</v>
      </c>
      <c r="S37" s="21">
        <v>2254.9699999999998</v>
      </c>
    </row>
    <row r="38" spans="1:19" x14ac:dyDescent="0.2">
      <c r="A38" s="9" t="s">
        <v>79</v>
      </c>
      <c r="B38" s="9" t="s">
        <v>80</v>
      </c>
      <c r="C38" s="9">
        <v>221</v>
      </c>
      <c r="D38" s="9">
        <v>1</v>
      </c>
      <c r="E38" s="9">
        <v>315</v>
      </c>
      <c r="F38" s="9">
        <f t="shared" si="0"/>
        <v>537</v>
      </c>
      <c r="H38" s="10">
        <v>83.21</v>
      </c>
      <c r="I38" s="10">
        <v>61</v>
      </c>
      <c r="J38" s="10">
        <v>93.13</v>
      </c>
      <c r="K38" s="10">
        <v>88.98</v>
      </c>
      <c r="M38" s="10">
        <v>127.33157000000001</v>
      </c>
      <c r="N38" s="10">
        <v>124.16184</v>
      </c>
      <c r="O38" s="10">
        <v>125.49066000000001</v>
      </c>
      <c r="Q38" s="21">
        <v>1604.56</v>
      </c>
      <c r="R38" s="21">
        <v>1475.94</v>
      </c>
      <c r="S38" s="21">
        <v>1529.86</v>
      </c>
    </row>
    <row r="39" spans="1:19" x14ac:dyDescent="0.2">
      <c r="A39" s="9" t="s">
        <v>81</v>
      </c>
      <c r="B39" s="9" t="s">
        <v>82</v>
      </c>
      <c r="C39" s="9">
        <v>18</v>
      </c>
      <c r="D39" s="9">
        <v>0</v>
      </c>
      <c r="E39" s="9">
        <v>99</v>
      </c>
      <c r="F39" s="9">
        <f t="shared" si="0"/>
        <v>117</v>
      </c>
      <c r="H39" s="10">
        <v>197.13</v>
      </c>
      <c r="I39" s="10">
        <v>0</v>
      </c>
      <c r="J39" s="10">
        <v>171.92</v>
      </c>
      <c r="K39" s="10">
        <v>175.91</v>
      </c>
      <c r="M39" s="10">
        <v>673.93221999999992</v>
      </c>
      <c r="N39" s="10">
        <v>338.46904999999998</v>
      </c>
      <c r="O39" s="10">
        <v>391.61172999999997</v>
      </c>
      <c r="Q39" s="21">
        <v>3322.58</v>
      </c>
      <c r="R39" s="21">
        <v>2139.0700000000002</v>
      </c>
      <c r="S39" s="21">
        <v>2326.56</v>
      </c>
    </row>
    <row r="40" spans="1:19" x14ac:dyDescent="0.2">
      <c r="A40" s="9" t="s">
        <v>83</v>
      </c>
      <c r="B40" s="9" t="s">
        <v>84</v>
      </c>
      <c r="C40" s="9">
        <v>61</v>
      </c>
      <c r="D40" s="9">
        <v>0</v>
      </c>
      <c r="E40" s="9">
        <v>125</v>
      </c>
      <c r="F40" s="9">
        <f t="shared" si="0"/>
        <v>186</v>
      </c>
      <c r="H40" s="10">
        <v>130.05000000000001</v>
      </c>
      <c r="I40" s="10">
        <v>0</v>
      </c>
      <c r="J40" s="10">
        <v>126.9</v>
      </c>
      <c r="K40" s="10">
        <v>127.96</v>
      </c>
      <c r="M40" s="10">
        <v>173.54334</v>
      </c>
      <c r="N40" s="10">
        <v>173.39863</v>
      </c>
      <c r="O40" s="10">
        <v>173.44743</v>
      </c>
      <c r="Q40" s="21">
        <v>1541.75</v>
      </c>
      <c r="R40" s="21">
        <v>1554.35</v>
      </c>
      <c r="S40" s="21">
        <v>1550.1</v>
      </c>
    </row>
    <row r="41" spans="1:19" x14ac:dyDescent="0.2">
      <c r="A41" s="9" t="s">
        <v>85</v>
      </c>
      <c r="B41" s="9" t="s">
        <v>86</v>
      </c>
      <c r="C41" s="9">
        <v>64</v>
      </c>
      <c r="D41" s="9">
        <v>1</v>
      </c>
      <c r="E41" s="9">
        <v>203</v>
      </c>
      <c r="F41" s="9">
        <f t="shared" si="0"/>
        <v>268</v>
      </c>
      <c r="H41" s="10">
        <v>88.69</v>
      </c>
      <c r="I41" s="10">
        <v>87</v>
      </c>
      <c r="J41" s="10">
        <v>81.03</v>
      </c>
      <c r="K41" s="10">
        <v>82.87</v>
      </c>
      <c r="M41" s="10">
        <v>177.19137000000001</v>
      </c>
      <c r="N41" s="10">
        <v>128.96105</v>
      </c>
      <c r="O41" s="10">
        <v>140.71466000000001</v>
      </c>
      <c r="Q41" s="21">
        <v>1987.9</v>
      </c>
      <c r="R41" s="21">
        <v>1613.53</v>
      </c>
      <c r="S41" s="21">
        <v>1704.76</v>
      </c>
    </row>
    <row r="42" spans="1:19" x14ac:dyDescent="0.2">
      <c r="A42" s="9" t="s">
        <v>87</v>
      </c>
      <c r="B42" s="9" t="s">
        <v>88</v>
      </c>
      <c r="C42" s="9">
        <v>76</v>
      </c>
      <c r="D42" s="9">
        <v>0</v>
      </c>
      <c r="E42" s="9">
        <v>298</v>
      </c>
      <c r="F42" s="9">
        <f t="shared" si="0"/>
        <v>374</v>
      </c>
      <c r="H42" s="10">
        <v>88.57</v>
      </c>
      <c r="I42" s="10">
        <v>0</v>
      </c>
      <c r="J42" s="10">
        <v>98.99</v>
      </c>
      <c r="K42" s="10">
        <v>96.91</v>
      </c>
      <c r="M42" s="10">
        <v>181.60334</v>
      </c>
      <c r="N42" s="10">
        <v>186.10672</v>
      </c>
      <c r="O42" s="10">
        <v>185.20345999999998</v>
      </c>
      <c r="Q42" s="21">
        <v>2039.14</v>
      </c>
      <c r="R42" s="21">
        <v>2041.7</v>
      </c>
      <c r="S42" s="21">
        <v>2041.19</v>
      </c>
    </row>
    <row r="43" spans="1:19" x14ac:dyDescent="0.2">
      <c r="A43" s="9" t="s">
        <v>89</v>
      </c>
      <c r="B43" s="9" t="s">
        <v>90</v>
      </c>
      <c r="C43" s="9">
        <v>49</v>
      </c>
      <c r="D43" s="9">
        <v>0</v>
      </c>
      <c r="E43" s="9">
        <v>663</v>
      </c>
      <c r="F43" s="9">
        <f t="shared" si="0"/>
        <v>712</v>
      </c>
      <c r="H43" s="10">
        <v>109.29</v>
      </c>
      <c r="I43" s="10">
        <v>0</v>
      </c>
      <c r="J43" s="10">
        <v>96.27</v>
      </c>
      <c r="K43" s="10">
        <v>97.19</v>
      </c>
      <c r="M43" s="10">
        <v>192.40251999999998</v>
      </c>
      <c r="N43" s="10">
        <v>162.45989</v>
      </c>
      <c r="O43" s="10">
        <v>164.55445</v>
      </c>
      <c r="Q43" s="21">
        <v>1825.24</v>
      </c>
      <c r="R43" s="21">
        <v>1813.95</v>
      </c>
      <c r="S43" s="21">
        <v>1814.74</v>
      </c>
    </row>
    <row r="44" spans="1:19" x14ac:dyDescent="0.2">
      <c r="A44" s="9" t="s">
        <v>91</v>
      </c>
      <c r="B44" s="9" t="s">
        <v>92</v>
      </c>
      <c r="C44" s="9">
        <v>59</v>
      </c>
      <c r="D44" s="9">
        <v>2</v>
      </c>
      <c r="E44" s="9">
        <v>143</v>
      </c>
      <c r="F44" s="9">
        <f t="shared" si="0"/>
        <v>204</v>
      </c>
      <c r="H44" s="10">
        <v>94.71</v>
      </c>
      <c r="I44" s="10">
        <v>77</v>
      </c>
      <c r="J44" s="10">
        <v>104.93</v>
      </c>
      <c r="K44" s="10">
        <v>101.76</v>
      </c>
      <c r="M44" s="10">
        <v>190.22412</v>
      </c>
      <c r="N44" s="10">
        <v>192.45076999999998</v>
      </c>
      <c r="O44" s="10">
        <v>191.79587000000001</v>
      </c>
      <c r="Q44" s="21">
        <v>2418.4</v>
      </c>
      <c r="R44" s="21">
        <v>1842.24</v>
      </c>
      <c r="S44" s="21">
        <v>2011.7</v>
      </c>
    </row>
    <row r="45" spans="1:19" x14ac:dyDescent="0.2">
      <c r="A45" s="9" t="s">
        <v>93</v>
      </c>
      <c r="B45" s="9" t="s">
        <v>94</v>
      </c>
      <c r="C45" s="9">
        <v>0</v>
      </c>
      <c r="D45" s="9">
        <v>0</v>
      </c>
      <c r="E45" s="9">
        <v>0</v>
      </c>
      <c r="F45" s="9">
        <f t="shared" si="0"/>
        <v>0</v>
      </c>
      <c r="H45" s="10">
        <v>0</v>
      </c>
      <c r="I45" s="10">
        <v>0</v>
      </c>
      <c r="J45" s="10">
        <v>0</v>
      </c>
      <c r="K45" s="10">
        <v>0</v>
      </c>
      <c r="M45" s="10">
        <v>0</v>
      </c>
      <c r="N45" s="10">
        <v>0</v>
      </c>
      <c r="O45" s="10">
        <v>0</v>
      </c>
      <c r="Q45" s="21">
        <v>0</v>
      </c>
      <c r="R45" s="21">
        <v>0</v>
      </c>
      <c r="S45" s="21">
        <v>0</v>
      </c>
    </row>
    <row r="46" spans="1:19" x14ac:dyDescent="0.2">
      <c r="A46" s="9" t="s">
        <v>95</v>
      </c>
      <c r="B46" s="9" t="s">
        <v>96</v>
      </c>
      <c r="C46" s="9">
        <v>36</v>
      </c>
      <c r="D46" s="9">
        <v>4</v>
      </c>
      <c r="E46" s="9">
        <v>98</v>
      </c>
      <c r="F46" s="9">
        <f t="shared" si="0"/>
        <v>138</v>
      </c>
      <c r="H46" s="10">
        <v>80.97</v>
      </c>
      <c r="I46" s="10">
        <v>77</v>
      </c>
      <c r="J46" s="10">
        <v>85.9</v>
      </c>
      <c r="K46" s="10">
        <v>84.19</v>
      </c>
      <c r="M46" s="10">
        <v>108.60633</v>
      </c>
      <c r="N46" s="10">
        <v>98.914789999999996</v>
      </c>
      <c r="O46" s="10">
        <v>101.88159</v>
      </c>
      <c r="Q46" s="21">
        <v>1255.07</v>
      </c>
      <c r="R46" s="21">
        <v>1128.32</v>
      </c>
      <c r="S46" s="21">
        <v>1167.1199999999999</v>
      </c>
    </row>
    <row r="47" spans="1:19" x14ac:dyDescent="0.2">
      <c r="A47" s="9" t="s">
        <v>97</v>
      </c>
      <c r="B47" s="9" t="s">
        <v>98</v>
      </c>
      <c r="C47" s="9">
        <v>5</v>
      </c>
      <c r="D47" s="9">
        <v>1</v>
      </c>
      <c r="E47" s="9">
        <v>27</v>
      </c>
      <c r="F47" s="9">
        <f t="shared" si="0"/>
        <v>33</v>
      </c>
      <c r="H47" s="10">
        <v>118.75</v>
      </c>
      <c r="I47" s="10">
        <v>83</v>
      </c>
      <c r="J47" s="10">
        <v>73.44</v>
      </c>
      <c r="K47" s="10">
        <v>79.8</v>
      </c>
      <c r="M47" s="10">
        <v>60.75</v>
      </c>
      <c r="N47" s="10">
        <v>75.06689999999999</v>
      </c>
      <c r="O47" s="10">
        <v>73.092160000000007</v>
      </c>
      <c r="Q47" s="21">
        <v>758.74</v>
      </c>
      <c r="R47" s="21">
        <v>1042.2</v>
      </c>
      <c r="S47" s="21">
        <v>1003.1</v>
      </c>
    </row>
    <row r="48" spans="1:19" x14ac:dyDescent="0.2">
      <c r="A48" s="9" t="s">
        <v>99</v>
      </c>
      <c r="B48" s="9" t="s">
        <v>100</v>
      </c>
      <c r="C48" s="9">
        <v>6</v>
      </c>
      <c r="D48" s="9">
        <v>0</v>
      </c>
      <c r="E48" s="9">
        <v>150</v>
      </c>
      <c r="F48" s="9">
        <f t="shared" si="0"/>
        <v>156</v>
      </c>
      <c r="H48" s="10">
        <v>186.8</v>
      </c>
      <c r="I48" s="10">
        <v>0</v>
      </c>
      <c r="J48" s="10">
        <v>112.91</v>
      </c>
      <c r="K48" s="10">
        <v>115.49</v>
      </c>
      <c r="M48" s="10">
        <v>437</v>
      </c>
      <c r="N48" s="10">
        <v>191.49404000000001</v>
      </c>
      <c r="O48" s="10">
        <v>200.13862</v>
      </c>
      <c r="Q48" s="21">
        <v>2458.9</v>
      </c>
      <c r="R48" s="21">
        <v>1854.23</v>
      </c>
      <c r="S48" s="21">
        <v>1875.52</v>
      </c>
    </row>
    <row r="49" spans="1:19" x14ac:dyDescent="0.2">
      <c r="A49" s="9" t="s">
        <v>101</v>
      </c>
      <c r="B49" s="9" t="s">
        <v>102</v>
      </c>
      <c r="C49" s="9">
        <v>43</v>
      </c>
      <c r="D49" s="9">
        <v>3</v>
      </c>
      <c r="E49" s="9">
        <v>54</v>
      </c>
      <c r="F49" s="9">
        <f t="shared" si="0"/>
        <v>100</v>
      </c>
      <c r="H49" s="10">
        <v>97.58</v>
      </c>
      <c r="I49" s="10">
        <v>106</v>
      </c>
      <c r="J49" s="10">
        <v>119.37</v>
      </c>
      <c r="K49" s="10">
        <v>109.47</v>
      </c>
      <c r="M49" s="10">
        <v>94.831070000000011</v>
      </c>
      <c r="N49" s="10">
        <v>124.32107999999999</v>
      </c>
      <c r="O49" s="10">
        <v>110.85033</v>
      </c>
      <c r="Q49" s="21">
        <v>1057.51</v>
      </c>
      <c r="R49" s="21">
        <v>1046.9100000000001</v>
      </c>
      <c r="S49" s="21">
        <v>1051.75</v>
      </c>
    </row>
    <row r="50" spans="1:19" x14ac:dyDescent="0.2">
      <c r="A50" s="9" t="s">
        <v>103</v>
      </c>
      <c r="B50" s="9" t="s">
        <v>104</v>
      </c>
      <c r="C50" s="9">
        <v>27</v>
      </c>
      <c r="D50" s="9">
        <v>0</v>
      </c>
      <c r="E50" s="9">
        <v>236</v>
      </c>
      <c r="F50" s="9">
        <f t="shared" si="0"/>
        <v>263</v>
      </c>
      <c r="H50" s="10">
        <v>155.37</v>
      </c>
      <c r="I50" s="10">
        <v>0</v>
      </c>
      <c r="J50" s="10">
        <v>140.78</v>
      </c>
      <c r="K50" s="10">
        <v>142.46</v>
      </c>
      <c r="M50" s="10">
        <v>130.35720000000001</v>
      </c>
      <c r="N50" s="10">
        <v>204.85353000000001</v>
      </c>
      <c r="O50" s="10">
        <v>196.14617000000001</v>
      </c>
      <c r="Q50" s="21">
        <v>984.58</v>
      </c>
      <c r="R50" s="21">
        <v>1629.46</v>
      </c>
      <c r="S50" s="21">
        <v>1554.08</v>
      </c>
    </row>
    <row r="51" spans="1:19" x14ac:dyDescent="0.2">
      <c r="A51" s="9" t="s">
        <v>105</v>
      </c>
      <c r="B51" s="9" t="s">
        <v>106</v>
      </c>
      <c r="C51" s="9">
        <v>3</v>
      </c>
      <c r="D51" s="9">
        <v>0</v>
      </c>
      <c r="E51" s="9">
        <v>113</v>
      </c>
      <c r="F51" s="9">
        <f t="shared" si="0"/>
        <v>116</v>
      </c>
      <c r="H51" s="10">
        <v>63.67</v>
      </c>
      <c r="I51" s="10">
        <v>0</v>
      </c>
      <c r="J51" s="10">
        <v>131.03</v>
      </c>
      <c r="K51" s="10">
        <v>129.09</v>
      </c>
      <c r="M51" s="10">
        <v>173.33332999999999</v>
      </c>
      <c r="N51" s="10">
        <v>224.44642000000002</v>
      </c>
      <c r="O51" s="10">
        <v>222.95769000000001</v>
      </c>
      <c r="Q51" s="21">
        <v>3044.31</v>
      </c>
      <c r="R51" s="21">
        <v>1960.99</v>
      </c>
      <c r="S51" s="21">
        <v>1992.54</v>
      </c>
    </row>
    <row r="52" spans="1:19" x14ac:dyDescent="0.2">
      <c r="A52" s="9" t="s">
        <v>107</v>
      </c>
      <c r="B52" s="9" t="s">
        <v>108</v>
      </c>
      <c r="C52" s="9">
        <v>52</v>
      </c>
      <c r="D52" s="9">
        <v>0</v>
      </c>
      <c r="E52" s="9">
        <v>630</v>
      </c>
      <c r="F52" s="9">
        <f t="shared" si="0"/>
        <v>682</v>
      </c>
      <c r="H52" s="10">
        <v>92.07</v>
      </c>
      <c r="I52" s="10">
        <v>0</v>
      </c>
      <c r="J52" s="10">
        <v>88.77</v>
      </c>
      <c r="K52" s="10">
        <v>89.01</v>
      </c>
      <c r="M52" s="10">
        <v>276.65679</v>
      </c>
      <c r="N52" s="10">
        <v>278.88860999999997</v>
      </c>
      <c r="O52" s="10">
        <v>278.72399999999999</v>
      </c>
      <c r="Q52" s="21">
        <v>3112.06</v>
      </c>
      <c r="R52" s="21">
        <v>3273.38</v>
      </c>
      <c r="S52" s="21">
        <v>3261.48</v>
      </c>
    </row>
    <row r="53" spans="1:19" x14ac:dyDescent="0.2">
      <c r="A53" s="9" t="s">
        <v>109</v>
      </c>
      <c r="B53" s="9" t="s">
        <v>110</v>
      </c>
      <c r="C53" s="9">
        <v>38</v>
      </c>
      <c r="D53" s="9">
        <v>0</v>
      </c>
      <c r="E53" s="9">
        <v>447</v>
      </c>
      <c r="F53" s="9">
        <f t="shared" si="0"/>
        <v>485</v>
      </c>
      <c r="H53" s="10">
        <v>143.47</v>
      </c>
      <c r="I53" s="10">
        <v>0</v>
      </c>
      <c r="J53" s="10">
        <v>81.98</v>
      </c>
      <c r="K53" s="10">
        <v>86.96</v>
      </c>
      <c r="M53" s="10">
        <v>347.69326000000001</v>
      </c>
      <c r="N53" s="10">
        <v>165.51082</v>
      </c>
      <c r="O53" s="10">
        <v>180.17428000000001</v>
      </c>
      <c r="Q53" s="21">
        <v>2460.02</v>
      </c>
      <c r="R53" s="21">
        <v>2006.61</v>
      </c>
      <c r="S53" s="21">
        <v>2043.1</v>
      </c>
    </row>
    <row r="54" spans="1:19" x14ac:dyDescent="0.2">
      <c r="A54" s="9" t="s">
        <v>111</v>
      </c>
      <c r="B54" s="9" t="s">
        <v>112</v>
      </c>
      <c r="C54" s="9">
        <v>3</v>
      </c>
      <c r="D54" s="9">
        <v>0</v>
      </c>
      <c r="E54" s="9">
        <v>426</v>
      </c>
      <c r="F54" s="9">
        <f t="shared" si="0"/>
        <v>429</v>
      </c>
      <c r="H54" s="10">
        <v>33.67</v>
      </c>
      <c r="I54" s="10">
        <v>0</v>
      </c>
      <c r="J54" s="10">
        <v>98.12</v>
      </c>
      <c r="K54" s="10">
        <v>97.63</v>
      </c>
      <c r="M54" s="10">
        <v>130</v>
      </c>
      <c r="N54" s="10">
        <v>227.91945000000001</v>
      </c>
      <c r="O54" s="10">
        <v>227.17576</v>
      </c>
      <c r="Q54" s="21">
        <v>4392.8599999999997</v>
      </c>
      <c r="R54" s="21">
        <v>2260.96</v>
      </c>
      <c r="S54" s="21">
        <v>2277.15</v>
      </c>
    </row>
    <row r="55" spans="1:19" x14ac:dyDescent="0.2">
      <c r="A55" s="9" t="s">
        <v>113</v>
      </c>
      <c r="B55" s="9" t="s">
        <v>114</v>
      </c>
      <c r="C55" s="9">
        <v>19</v>
      </c>
      <c r="D55" s="9">
        <v>2</v>
      </c>
      <c r="E55" s="9">
        <v>28</v>
      </c>
      <c r="F55" s="9">
        <f t="shared" si="0"/>
        <v>49</v>
      </c>
      <c r="H55" s="10">
        <v>123.56</v>
      </c>
      <c r="I55" s="10">
        <v>93</v>
      </c>
      <c r="J55" s="10">
        <v>144.25</v>
      </c>
      <c r="K55" s="10">
        <v>134.36000000000001</v>
      </c>
      <c r="M55" s="10">
        <v>164.49755999999999</v>
      </c>
      <c r="N55" s="10">
        <v>178.35773999999998</v>
      </c>
      <c r="O55" s="10">
        <v>172.81367</v>
      </c>
      <c r="Q55" s="21">
        <v>1412.21</v>
      </c>
      <c r="R55" s="21">
        <v>1418.96</v>
      </c>
      <c r="S55" s="21">
        <v>1416.26</v>
      </c>
    </row>
    <row r="56" spans="1:19" x14ac:dyDescent="0.2">
      <c r="A56" s="9" t="s">
        <v>115</v>
      </c>
      <c r="B56" s="9" t="s">
        <v>116</v>
      </c>
      <c r="C56" s="9">
        <v>19</v>
      </c>
      <c r="D56" s="9">
        <v>0</v>
      </c>
      <c r="E56" s="9">
        <v>36</v>
      </c>
      <c r="F56" s="9">
        <f t="shared" si="0"/>
        <v>55</v>
      </c>
      <c r="H56" s="10">
        <v>87.41</v>
      </c>
      <c r="I56" s="10">
        <v>0</v>
      </c>
      <c r="J56" s="10">
        <v>78.06</v>
      </c>
      <c r="K56" s="10">
        <v>81.3</v>
      </c>
      <c r="M56" s="10">
        <v>136.70606000000001</v>
      </c>
      <c r="N56" s="10">
        <v>120.68969</v>
      </c>
      <c r="O56" s="10">
        <v>126.36215</v>
      </c>
      <c r="Q56" s="21">
        <v>1562.39</v>
      </c>
      <c r="R56" s="21">
        <v>1645.68</v>
      </c>
      <c r="S56" s="21">
        <v>1616.18</v>
      </c>
    </row>
    <row r="57" spans="1:19" x14ac:dyDescent="0.2">
      <c r="A57" s="9" t="s">
        <v>117</v>
      </c>
      <c r="B57" s="9" t="s">
        <v>118</v>
      </c>
      <c r="C57" s="9">
        <v>14</v>
      </c>
      <c r="D57" s="9">
        <v>1</v>
      </c>
      <c r="E57" s="9">
        <v>404</v>
      </c>
      <c r="F57" s="9">
        <f t="shared" si="0"/>
        <v>419</v>
      </c>
      <c r="H57" s="10">
        <v>135.63999999999999</v>
      </c>
      <c r="I57" s="10">
        <v>75</v>
      </c>
      <c r="J57" s="10">
        <v>99.32</v>
      </c>
      <c r="K57" s="10">
        <v>100.54</v>
      </c>
      <c r="M57" s="10">
        <v>271.81928999999997</v>
      </c>
      <c r="N57" s="10">
        <v>253.54935999999998</v>
      </c>
      <c r="O57" s="10">
        <v>254.32210999999998</v>
      </c>
      <c r="Q57" s="21">
        <v>2160.98</v>
      </c>
      <c r="R57" s="21">
        <v>2437.61</v>
      </c>
      <c r="S57" s="21">
        <v>2425.91</v>
      </c>
    </row>
    <row r="58" spans="1:19" x14ac:dyDescent="0.2">
      <c r="A58" s="9" t="s">
        <v>119</v>
      </c>
      <c r="B58" s="9" t="s">
        <v>120</v>
      </c>
      <c r="C58" s="9">
        <v>19</v>
      </c>
      <c r="D58" s="9">
        <v>1</v>
      </c>
      <c r="E58" s="9">
        <v>115</v>
      </c>
      <c r="F58" s="9">
        <f t="shared" si="0"/>
        <v>135</v>
      </c>
      <c r="H58" s="10">
        <v>129.57</v>
      </c>
      <c r="I58" s="10">
        <v>110</v>
      </c>
      <c r="J58" s="10">
        <v>137.03</v>
      </c>
      <c r="K58" s="10">
        <v>135.79</v>
      </c>
      <c r="M58" s="10">
        <v>198.72357</v>
      </c>
      <c r="N58" s="10">
        <v>213.75567999999998</v>
      </c>
      <c r="O58" s="10">
        <v>211.69245000000001</v>
      </c>
      <c r="Q58" s="21">
        <v>1659.02</v>
      </c>
      <c r="R58" s="21">
        <v>1733.46</v>
      </c>
      <c r="S58" s="21">
        <v>1723.24</v>
      </c>
    </row>
    <row r="59" spans="1:19" x14ac:dyDescent="0.2">
      <c r="A59" s="9" t="s">
        <v>121</v>
      </c>
      <c r="B59" s="9" t="s">
        <v>122</v>
      </c>
      <c r="C59" s="9">
        <v>41</v>
      </c>
      <c r="D59" s="9">
        <v>5</v>
      </c>
      <c r="E59" s="9">
        <v>44</v>
      </c>
      <c r="F59" s="9">
        <f t="shared" si="0"/>
        <v>90</v>
      </c>
      <c r="H59" s="10">
        <v>154</v>
      </c>
      <c r="I59" s="10">
        <v>82</v>
      </c>
      <c r="J59" s="10">
        <v>111.94</v>
      </c>
      <c r="K59" s="10">
        <v>111.79</v>
      </c>
      <c r="M59" s="10">
        <v>123.04</v>
      </c>
      <c r="N59" s="10">
        <v>85.927109999999999</v>
      </c>
      <c r="O59" s="10">
        <v>88.676210000000012</v>
      </c>
      <c r="Q59" s="21">
        <v>754.23</v>
      </c>
      <c r="R59" s="21">
        <v>845.36</v>
      </c>
      <c r="S59" s="21">
        <v>838.61</v>
      </c>
    </row>
    <row r="60" spans="1:19" x14ac:dyDescent="0.2">
      <c r="A60" s="9" t="s">
        <v>123</v>
      </c>
      <c r="B60" s="9" t="s">
        <v>124</v>
      </c>
      <c r="C60" s="9">
        <v>16</v>
      </c>
      <c r="D60" s="9">
        <v>0</v>
      </c>
      <c r="E60" s="9">
        <v>54</v>
      </c>
      <c r="F60" s="9">
        <f t="shared" si="0"/>
        <v>70</v>
      </c>
      <c r="H60" s="10">
        <v>123.56</v>
      </c>
      <c r="I60" s="10">
        <v>0</v>
      </c>
      <c r="J60" s="10">
        <v>102.77</v>
      </c>
      <c r="K60" s="10">
        <v>106.37</v>
      </c>
      <c r="M60" s="10">
        <v>77.855999999999995</v>
      </c>
      <c r="N60" s="10">
        <v>64.364199999999997</v>
      </c>
      <c r="O60" s="10">
        <v>66.745109999999997</v>
      </c>
      <c r="Q60" s="21">
        <v>626.73</v>
      </c>
      <c r="R60" s="21">
        <v>630.02</v>
      </c>
      <c r="S60" s="21">
        <v>629.44000000000005</v>
      </c>
    </row>
    <row r="61" spans="1:19" x14ac:dyDescent="0.2">
      <c r="A61" s="9" t="s">
        <v>125</v>
      </c>
      <c r="B61" s="9" t="s">
        <v>126</v>
      </c>
      <c r="C61" s="9">
        <v>39</v>
      </c>
      <c r="D61" s="9">
        <v>0</v>
      </c>
      <c r="E61" s="9">
        <v>134</v>
      </c>
      <c r="F61" s="9">
        <f t="shared" si="0"/>
        <v>173</v>
      </c>
      <c r="H61" s="10">
        <v>148.13999999999999</v>
      </c>
      <c r="I61" s="10">
        <v>0</v>
      </c>
      <c r="J61" s="10">
        <v>144.44</v>
      </c>
      <c r="K61" s="10">
        <v>145.36000000000001</v>
      </c>
      <c r="M61" s="10">
        <v>179.84317000000001</v>
      </c>
      <c r="N61" s="10">
        <v>197.65894</v>
      </c>
      <c r="O61" s="10">
        <v>193.23659000000001</v>
      </c>
      <c r="Q61" s="21">
        <v>1382.19</v>
      </c>
      <c r="R61" s="21">
        <v>1554.49</v>
      </c>
      <c r="S61" s="21">
        <v>1511.72</v>
      </c>
    </row>
    <row r="62" spans="1:19" x14ac:dyDescent="0.2">
      <c r="A62" s="9" t="s">
        <v>127</v>
      </c>
      <c r="B62" s="9" t="s">
        <v>128</v>
      </c>
      <c r="C62" s="9">
        <v>12</v>
      </c>
      <c r="D62" s="9">
        <v>0</v>
      </c>
      <c r="E62" s="9">
        <v>657</v>
      </c>
      <c r="F62" s="9">
        <f t="shared" si="0"/>
        <v>669</v>
      </c>
      <c r="H62" s="10">
        <v>92.5</v>
      </c>
      <c r="I62" s="10">
        <v>0</v>
      </c>
      <c r="J62" s="10">
        <v>68.03</v>
      </c>
      <c r="K62" s="10">
        <v>68.53</v>
      </c>
      <c r="M62" s="10">
        <v>249.29317</v>
      </c>
      <c r="N62" s="10">
        <v>156.06582999999998</v>
      </c>
      <c r="O62" s="10">
        <v>159.27135000000001</v>
      </c>
      <c r="Q62" s="21">
        <v>2691.11</v>
      </c>
      <c r="R62" s="21">
        <v>2361.6</v>
      </c>
      <c r="S62" s="21">
        <v>2372.9299999999998</v>
      </c>
    </row>
    <row r="63" spans="1:19" x14ac:dyDescent="0.2">
      <c r="A63" s="9" t="s">
        <v>129</v>
      </c>
      <c r="B63" s="9" t="s">
        <v>130</v>
      </c>
      <c r="C63" s="9">
        <v>10</v>
      </c>
      <c r="D63" s="9">
        <v>0</v>
      </c>
      <c r="E63" s="9">
        <v>313</v>
      </c>
      <c r="F63" s="9">
        <f t="shared" si="0"/>
        <v>323</v>
      </c>
      <c r="H63" s="10">
        <v>74</v>
      </c>
      <c r="I63" s="10">
        <v>0</v>
      </c>
      <c r="J63" s="10">
        <v>94.52</v>
      </c>
      <c r="K63" s="10">
        <v>94.1</v>
      </c>
      <c r="M63" s="10">
        <v>119.4</v>
      </c>
      <c r="N63" s="10">
        <v>164.60004000000001</v>
      </c>
      <c r="O63" s="10">
        <v>163.82607000000002</v>
      </c>
      <c r="Q63" s="21">
        <v>1571.98</v>
      </c>
      <c r="R63" s="21">
        <v>1864.62</v>
      </c>
      <c r="S63" s="21">
        <v>1859.61</v>
      </c>
    </row>
    <row r="64" spans="1:19" x14ac:dyDescent="0.2">
      <c r="A64" s="9" t="s">
        <v>131</v>
      </c>
      <c r="B64" s="9" t="s">
        <v>132</v>
      </c>
      <c r="C64" s="9">
        <v>38</v>
      </c>
      <c r="D64" s="9">
        <v>2</v>
      </c>
      <c r="E64" s="9">
        <v>309</v>
      </c>
      <c r="F64" s="9">
        <f t="shared" si="0"/>
        <v>349</v>
      </c>
      <c r="H64" s="10">
        <v>109.65</v>
      </c>
      <c r="I64" s="10">
        <v>71.5</v>
      </c>
      <c r="J64" s="10">
        <v>82.69</v>
      </c>
      <c r="K64" s="10">
        <v>85.35</v>
      </c>
      <c r="M64" s="10">
        <v>129.68924000000001</v>
      </c>
      <c r="N64" s="10">
        <v>116.29200999999999</v>
      </c>
      <c r="O64" s="10">
        <v>117.75196000000001</v>
      </c>
      <c r="Q64" s="21">
        <v>1402.07</v>
      </c>
      <c r="R64" s="21">
        <v>1520.17</v>
      </c>
      <c r="S64" s="21">
        <v>1507.3</v>
      </c>
    </row>
    <row r="65" spans="1:19" x14ac:dyDescent="0.2">
      <c r="A65" s="9" t="s">
        <v>133</v>
      </c>
      <c r="B65" s="9" t="s">
        <v>134</v>
      </c>
      <c r="C65" s="9">
        <v>37</v>
      </c>
      <c r="D65" s="9">
        <v>0</v>
      </c>
      <c r="E65" s="9">
        <v>97</v>
      </c>
      <c r="F65" s="9">
        <f t="shared" si="0"/>
        <v>134</v>
      </c>
      <c r="H65" s="10">
        <v>69.47</v>
      </c>
      <c r="I65" s="10">
        <v>0</v>
      </c>
      <c r="J65" s="10">
        <v>78.64</v>
      </c>
      <c r="K65" s="10">
        <v>75.98</v>
      </c>
      <c r="M65" s="10">
        <v>45.351150000000004</v>
      </c>
      <c r="N65" s="10">
        <v>69.603210000000004</v>
      </c>
      <c r="O65" s="10">
        <v>62.446860000000001</v>
      </c>
      <c r="Q65" s="21">
        <v>641.79</v>
      </c>
      <c r="R65" s="21">
        <v>937.37</v>
      </c>
      <c r="S65" s="21">
        <v>850.15</v>
      </c>
    </row>
    <row r="66" spans="1:19" x14ac:dyDescent="0.2">
      <c r="A66" s="9" t="s">
        <v>135</v>
      </c>
      <c r="B66" s="9" t="s">
        <v>136</v>
      </c>
      <c r="C66" s="9">
        <v>20</v>
      </c>
      <c r="D66" s="9">
        <v>0</v>
      </c>
      <c r="E66" s="9">
        <v>72</v>
      </c>
      <c r="F66" s="9">
        <f t="shared" si="0"/>
        <v>92</v>
      </c>
      <c r="H66" s="10">
        <v>128.53</v>
      </c>
      <c r="I66" s="10">
        <v>0</v>
      </c>
      <c r="J66" s="10">
        <v>157.59</v>
      </c>
      <c r="K66" s="10">
        <v>151.62</v>
      </c>
      <c r="M66" s="10">
        <v>168.78832999999997</v>
      </c>
      <c r="N66" s="10">
        <v>191.10001</v>
      </c>
      <c r="O66" s="10">
        <v>186.51542000000001</v>
      </c>
      <c r="Q66" s="21">
        <v>1384.52</v>
      </c>
      <c r="R66" s="21">
        <v>1511.31</v>
      </c>
      <c r="S66" s="21">
        <v>1485.26</v>
      </c>
    </row>
    <row r="67" spans="1:19" x14ac:dyDescent="0.2">
      <c r="A67" s="9" t="s">
        <v>137</v>
      </c>
      <c r="B67" s="9" t="s">
        <v>138</v>
      </c>
      <c r="C67" s="9">
        <v>21</v>
      </c>
      <c r="D67" s="9">
        <v>0</v>
      </c>
      <c r="E67" s="9">
        <v>367</v>
      </c>
      <c r="F67" s="9">
        <f t="shared" si="0"/>
        <v>388</v>
      </c>
      <c r="H67" s="10">
        <v>92.67</v>
      </c>
      <c r="I67" s="10">
        <v>0</v>
      </c>
      <c r="J67" s="10">
        <v>92.34</v>
      </c>
      <c r="K67" s="10">
        <v>92.36</v>
      </c>
      <c r="M67" s="10">
        <v>163.73563000000001</v>
      </c>
      <c r="N67" s="10">
        <v>176.7756</v>
      </c>
      <c r="O67" s="10">
        <v>176.03349</v>
      </c>
      <c r="Q67" s="21">
        <v>1830.17</v>
      </c>
      <c r="R67" s="21">
        <v>2009.97</v>
      </c>
      <c r="S67" s="21">
        <v>1999.74</v>
      </c>
    </row>
    <row r="68" spans="1:19" x14ac:dyDescent="0.2">
      <c r="A68" s="9" t="s">
        <v>139</v>
      </c>
      <c r="B68" s="9" t="s">
        <v>140</v>
      </c>
      <c r="C68" s="9">
        <v>0</v>
      </c>
      <c r="D68" s="9">
        <v>0</v>
      </c>
      <c r="E68" s="9">
        <v>252</v>
      </c>
      <c r="F68" s="9">
        <f t="shared" si="0"/>
        <v>252</v>
      </c>
      <c r="H68" s="10">
        <v>0</v>
      </c>
      <c r="I68" s="10">
        <v>0</v>
      </c>
      <c r="J68" s="10">
        <v>103.34</v>
      </c>
      <c r="K68" s="10">
        <v>103.34</v>
      </c>
      <c r="M68" s="10">
        <v>0</v>
      </c>
      <c r="N68" s="10">
        <v>138.81774999999999</v>
      </c>
      <c r="O68" s="10">
        <v>138.81774999999999</v>
      </c>
      <c r="Q68" s="21">
        <v>0</v>
      </c>
      <c r="R68" s="21">
        <v>1503.84</v>
      </c>
      <c r="S68" s="21">
        <v>1503.84</v>
      </c>
    </row>
    <row r="69" spans="1:19" x14ac:dyDescent="0.2">
      <c r="A69" s="9" t="s">
        <v>141</v>
      </c>
      <c r="B69" s="9" t="s">
        <v>142</v>
      </c>
      <c r="C69" s="9">
        <v>75</v>
      </c>
      <c r="D69" s="9">
        <v>1</v>
      </c>
      <c r="E69" s="9">
        <v>295</v>
      </c>
      <c r="F69" s="9">
        <f t="shared" si="0"/>
        <v>371</v>
      </c>
      <c r="H69" s="10">
        <v>83.49</v>
      </c>
      <c r="I69" s="10">
        <v>91</v>
      </c>
      <c r="J69" s="10">
        <v>80.58</v>
      </c>
      <c r="K69" s="10">
        <v>81.23</v>
      </c>
      <c r="M69" s="10">
        <v>296.15242999999998</v>
      </c>
      <c r="N69" s="10">
        <v>241.02466000000001</v>
      </c>
      <c r="O69" s="10">
        <v>253.10513</v>
      </c>
      <c r="Q69" s="21">
        <v>3585.63</v>
      </c>
      <c r="R69" s="21">
        <v>2748.4</v>
      </c>
      <c r="S69" s="21">
        <v>2931.87</v>
      </c>
    </row>
    <row r="70" spans="1:19" x14ac:dyDescent="0.2">
      <c r="A70" s="9" t="s">
        <v>143</v>
      </c>
      <c r="B70" s="9" t="s">
        <v>144</v>
      </c>
      <c r="C70" s="9">
        <v>58</v>
      </c>
      <c r="D70" s="9">
        <v>0</v>
      </c>
      <c r="E70" s="9">
        <v>388</v>
      </c>
      <c r="F70" s="9">
        <f t="shared" ref="F70:F133" si="1">SUM(C70:E70)</f>
        <v>446</v>
      </c>
      <c r="H70" s="10">
        <v>68.98</v>
      </c>
      <c r="I70" s="10">
        <v>0</v>
      </c>
      <c r="J70" s="10">
        <v>97.95</v>
      </c>
      <c r="K70" s="10">
        <v>93.91</v>
      </c>
      <c r="M70" s="10">
        <v>93.915350000000004</v>
      </c>
      <c r="N70" s="10">
        <v>102.339</v>
      </c>
      <c r="O70" s="10">
        <v>101.07894999999999</v>
      </c>
      <c r="Q70" s="21">
        <v>1382.1</v>
      </c>
      <c r="R70" s="21">
        <v>1070.8</v>
      </c>
      <c r="S70" s="21">
        <v>1117.3699999999999</v>
      </c>
    </row>
    <row r="71" spans="1:19" x14ac:dyDescent="0.2">
      <c r="A71" s="9" t="s">
        <v>145</v>
      </c>
      <c r="B71" s="9" t="s">
        <v>146</v>
      </c>
      <c r="C71" s="9">
        <v>56</v>
      </c>
      <c r="D71" s="9">
        <v>0</v>
      </c>
      <c r="E71" s="9">
        <v>146</v>
      </c>
      <c r="F71" s="9">
        <f t="shared" si="1"/>
        <v>202</v>
      </c>
      <c r="H71" s="10">
        <v>99.05</v>
      </c>
      <c r="I71" s="10">
        <v>0</v>
      </c>
      <c r="J71" s="10">
        <v>85.63</v>
      </c>
      <c r="K71" s="10">
        <v>87.73</v>
      </c>
      <c r="M71" s="10">
        <v>177.85507000000001</v>
      </c>
      <c r="N71" s="10">
        <v>157.42092000000002</v>
      </c>
      <c r="O71" s="10">
        <v>160.74741</v>
      </c>
      <c r="Q71" s="21">
        <v>1797.9</v>
      </c>
      <c r="R71" s="21">
        <v>1862.45</v>
      </c>
      <c r="S71" s="21">
        <v>1851.94</v>
      </c>
    </row>
    <row r="72" spans="1:19" x14ac:dyDescent="0.2">
      <c r="A72" s="9" t="s">
        <v>147</v>
      </c>
      <c r="B72" s="9" t="s">
        <v>148</v>
      </c>
      <c r="C72" s="9">
        <v>79</v>
      </c>
      <c r="D72" s="9">
        <v>0</v>
      </c>
      <c r="E72" s="9">
        <v>107</v>
      </c>
      <c r="F72" s="9">
        <f t="shared" si="1"/>
        <v>186</v>
      </c>
      <c r="H72" s="10">
        <v>100.29</v>
      </c>
      <c r="I72" s="10">
        <v>0</v>
      </c>
      <c r="J72" s="10">
        <v>109.68</v>
      </c>
      <c r="K72" s="10">
        <v>105.71</v>
      </c>
      <c r="M72" s="10">
        <v>183.75459000000001</v>
      </c>
      <c r="N72" s="10">
        <v>169.74722</v>
      </c>
      <c r="O72" s="10">
        <v>175.67340999999999</v>
      </c>
      <c r="Q72" s="21">
        <v>1987.9</v>
      </c>
      <c r="R72" s="21">
        <v>1605.99</v>
      </c>
      <c r="S72" s="21">
        <v>1767.57</v>
      </c>
    </row>
    <row r="73" spans="1:19" x14ac:dyDescent="0.2">
      <c r="A73" s="9" t="s">
        <v>149</v>
      </c>
      <c r="B73" s="9" t="s">
        <v>150</v>
      </c>
      <c r="C73" s="9">
        <v>70</v>
      </c>
      <c r="D73" s="9">
        <v>23</v>
      </c>
      <c r="E73" s="9">
        <v>405</v>
      </c>
      <c r="F73" s="9">
        <f t="shared" si="1"/>
        <v>498</v>
      </c>
      <c r="H73" s="10">
        <v>84.85</v>
      </c>
      <c r="I73" s="10">
        <v>78.680000000000007</v>
      </c>
      <c r="J73" s="10">
        <v>87.73</v>
      </c>
      <c r="K73" s="10">
        <v>86.88</v>
      </c>
      <c r="M73" s="10">
        <v>219.88311999999999</v>
      </c>
      <c r="N73" s="10">
        <v>263.01514000000003</v>
      </c>
      <c r="O73" s="10">
        <v>256.21550000000002</v>
      </c>
      <c r="Q73" s="21">
        <v>2722.62</v>
      </c>
      <c r="R73" s="21">
        <v>2838.32</v>
      </c>
      <c r="S73" s="21">
        <v>2820.08</v>
      </c>
    </row>
    <row r="74" spans="1:19" x14ac:dyDescent="0.2">
      <c r="A74" s="9" t="s">
        <v>151</v>
      </c>
      <c r="B74" s="9" t="s">
        <v>152</v>
      </c>
      <c r="C74" s="9">
        <v>1</v>
      </c>
      <c r="D74" s="9">
        <v>0</v>
      </c>
      <c r="E74" s="9">
        <v>84</v>
      </c>
      <c r="F74" s="9">
        <f t="shared" si="1"/>
        <v>85</v>
      </c>
      <c r="H74" s="10">
        <v>118</v>
      </c>
      <c r="I74" s="10">
        <v>0</v>
      </c>
      <c r="J74" s="10">
        <v>113.69</v>
      </c>
      <c r="K74" s="10">
        <v>113.74</v>
      </c>
      <c r="M74" s="10">
        <v>0</v>
      </c>
      <c r="N74" s="10">
        <v>144.44513000000001</v>
      </c>
      <c r="O74" s="10">
        <v>144.73238000000001</v>
      </c>
      <c r="Q74" s="21">
        <v>0</v>
      </c>
      <c r="R74" s="21">
        <v>1368.9</v>
      </c>
      <c r="S74" s="21">
        <v>1369.57</v>
      </c>
    </row>
    <row r="75" spans="1:19" x14ac:dyDescent="0.2">
      <c r="A75" s="9" t="s">
        <v>153</v>
      </c>
      <c r="B75" s="9" t="s">
        <v>154</v>
      </c>
      <c r="C75" s="9">
        <v>282</v>
      </c>
      <c r="D75" s="9">
        <v>32</v>
      </c>
      <c r="E75" s="9">
        <v>833</v>
      </c>
      <c r="F75" s="9">
        <f t="shared" si="1"/>
        <v>1147</v>
      </c>
      <c r="H75" s="10">
        <v>91.04</v>
      </c>
      <c r="I75" s="10">
        <v>80.36</v>
      </c>
      <c r="J75" s="10">
        <v>85.8</v>
      </c>
      <c r="K75" s="10">
        <v>86.91</v>
      </c>
      <c r="M75" s="10">
        <v>168.48502999999999</v>
      </c>
      <c r="N75" s="10">
        <v>156.05601999999999</v>
      </c>
      <c r="O75" s="10">
        <v>159.45457999999999</v>
      </c>
      <c r="Q75" s="21">
        <v>1911.51</v>
      </c>
      <c r="R75" s="21">
        <v>1829.26</v>
      </c>
      <c r="S75" s="21">
        <v>1851.75</v>
      </c>
    </row>
    <row r="76" spans="1:19" x14ac:dyDescent="0.2">
      <c r="A76" s="9" t="s">
        <v>155</v>
      </c>
      <c r="B76" s="9" t="s">
        <v>156</v>
      </c>
      <c r="C76" s="9">
        <v>46</v>
      </c>
      <c r="D76" s="9">
        <v>6</v>
      </c>
      <c r="E76" s="9">
        <v>570</v>
      </c>
      <c r="F76" s="9">
        <f t="shared" si="1"/>
        <v>622</v>
      </c>
      <c r="H76" s="10">
        <v>98.23</v>
      </c>
      <c r="I76" s="10">
        <v>77.8</v>
      </c>
      <c r="J76" s="10">
        <v>83.73</v>
      </c>
      <c r="K76" s="10">
        <v>84.74</v>
      </c>
      <c r="M76" s="10">
        <v>203.32603</v>
      </c>
      <c r="N76" s="10">
        <v>150.36151000000001</v>
      </c>
      <c r="O76" s="10">
        <v>154.51767999999998</v>
      </c>
      <c r="Q76" s="21">
        <v>2085.61</v>
      </c>
      <c r="R76" s="21">
        <v>1812.28</v>
      </c>
      <c r="S76" s="21">
        <v>1833.73</v>
      </c>
    </row>
    <row r="77" spans="1:19" x14ac:dyDescent="0.2">
      <c r="A77" s="9" t="s">
        <v>157</v>
      </c>
      <c r="B77" s="9" t="s">
        <v>158</v>
      </c>
      <c r="C77" s="9">
        <v>36</v>
      </c>
      <c r="D77" s="9">
        <v>0</v>
      </c>
      <c r="E77" s="9">
        <v>29</v>
      </c>
      <c r="F77" s="9">
        <f t="shared" si="1"/>
        <v>65</v>
      </c>
      <c r="H77" s="10">
        <v>82.57</v>
      </c>
      <c r="I77" s="10">
        <v>0</v>
      </c>
      <c r="J77" s="10">
        <v>111.5</v>
      </c>
      <c r="K77" s="10">
        <v>94.9</v>
      </c>
      <c r="M77" s="10">
        <v>24.030889999999999</v>
      </c>
      <c r="N77" s="10">
        <v>86.319210000000012</v>
      </c>
      <c r="O77" s="10">
        <v>49.368510000000001</v>
      </c>
      <c r="Q77" s="21">
        <v>286.67</v>
      </c>
      <c r="R77" s="21">
        <v>807.66</v>
      </c>
      <c r="S77" s="21">
        <v>498.6</v>
      </c>
    </row>
    <row r="78" spans="1:19" x14ac:dyDescent="0.2">
      <c r="A78" s="9" t="s">
        <v>159</v>
      </c>
      <c r="B78" s="9" t="s">
        <v>160</v>
      </c>
      <c r="C78" s="9">
        <v>306</v>
      </c>
      <c r="D78" s="9">
        <v>157</v>
      </c>
      <c r="E78" s="9">
        <v>2290</v>
      </c>
      <c r="F78" s="9">
        <f t="shared" si="1"/>
        <v>2753</v>
      </c>
      <c r="H78" s="10">
        <v>70.77</v>
      </c>
      <c r="I78" s="10">
        <v>78.97</v>
      </c>
      <c r="J78" s="10">
        <v>62.17</v>
      </c>
      <c r="K78" s="10">
        <v>64.14</v>
      </c>
      <c r="M78" s="10">
        <v>172.05611999999999</v>
      </c>
      <c r="N78" s="10">
        <v>135.57852</v>
      </c>
      <c r="O78" s="10">
        <v>140.53787</v>
      </c>
      <c r="Q78" s="21">
        <v>2434.75</v>
      </c>
      <c r="R78" s="21">
        <v>2189.88</v>
      </c>
      <c r="S78" s="21">
        <v>2223.17</v>
      </c>
    </row>
    <row r="79" spans="1:19" x14ac:dyDescent="0.2">
      <c r="A79" s="9" t="s">
        <v>161</v>
      </c>
      <c r="B79" s="9" t="s">
        <v>162</v>
      </c>
      <c r="C79" s="9">
        <v>65</v>
      </c>
      <c r="D79" s="9">
        <v>4</v>
      </c>
      <c r="E79" s="9">
        <v>320</v>
      </c>
      <c r="F79" s="9">
        <f t="shared" si="1"/>
        <v>389</v>
      </c>
      <c r="H79" s="10">
        <v>134.03</v>
      </c>
      <c r="I79" s="10">
        <v>77.75</v>
      </c>
      <c r="J79" s="10">
        <v>96.83</v>
      </c>
      <c r="K79" s="10">
        <v>102.97</v>
      </c>
      <c r="M79" s="10">
        <v>156.63464000000002</v>
      </c>
      <c r="N79" s="10">
        <v>99.481889999999993</v>
      </c>
      <c r="O79" s="10">
        <v>110.16464999999999</v>
      </c>
      <c r="Q79" s="21">
        <v>1283.83</v>
      </c>
      <c r="R79" s="21">
        <v>1034.08</v>
      </c>
      <c r="S79" s="21">
        <v>1080.76</v>
      </c>
    </row>
    <row r="80" spans="1:19" x14ac:dyDescent="0.2">
      <c r="A80" s="9" t="s">
        <v>163</v>
      </c>
      <c r="B80" s="9" t="s">
        <v>164</v>
      </c>
      <c r="C80" s="9">
        <v>11</v>
      </c>
      <c r="D80" s="9">
        <v>4</v>
      </c>
      <c r="E80" s="9">
        <v>78</v>
      </c>
      <c r="F80" s="9">
        <f t="shared" si="1"/>
        <v>93</v>
      </c>
      <c r="H80" s="10">
        <v>79</v>
      </c>
      <c r="I80" s="10">
        <v>63.25</v>
      </c>
      <c r="J80" s="10">
        <v>77.03</v>
      </c>
      <c r="K80" s="10">
        <v>76.56</v>
      </c>
      <c r="M80" s="10">
        <v>95.888890000000004</v>
      </c>
      <c r="N80" s="10">
        <v>123.52589999999999</v>
      </c>
      <c r="O80" s="10">
        <v>119.57776</v>
      </c>
      <c r="Q80" s="21">
        <v>1283.6300000000001</v>
      </c>
      <c r="R80" s="21">
        <v>1612.57</v>
      </c>
      <c r="S80" s="21">
        <v>1565.58</v>
      </c>
    </row>
    <row r="81" spans="1:19" x14ac:dyDescent="0.2">
      <c r="A81" s="9" t="s">
        <v>165</v>
      </c>
      <c r="B81" s="9" t="s">
        <v>166</v>
      </c>
      <c r="C81" s="9">
        <v>15</v>
      </c>
      <c r="D81" s="9">
        <v>0</v>
      </c>
      <c r="E81" s="9">
        <v>53</v>
      </c>
      <c r="F81" s="9">
        <f t="shared" si="1"/>
        <v>68</v>
      </c>
      <c r="H81" s="10">
        <v>123.2</v>
      </c>
      <c r="I81" s="10">
        <v>0</v>
      </c>
      <c r="J81" s="10">
        <v>116.94</v>
      </c>
      <c r="K81" s="10">
        <v>118.43</v>
      </c>
      <c r="M81" s="10">
        <v>108.87147</v>
      </c>
      <c r="N81" s="10">
        <v>108.31624000000001</v>
      </c>
      <c r="O81" s="10">
        <v>108.45739999999999</v>
      </c>
      <c r="Q81" s="21">
        <v>955.73</v>
      </c>
      <c r="R81" s="21">
        <v>951.18</v>
      </c>
      <c r="S81" s="21">
        <v>952.34</v>
      </c>
    </row>
    <row r="82" spans="1:19" x14ac:dyDescent="0.2">
      <c r="A82" s="9" t="s">
        <v>167</v>
      </c>
      <c r="B82" s="9" t="s">
        <v>168</v>
      </c>
      <c r="C82" s="9">
        <v>316</v>
      </c>
      <c r="D82" s="9">
        <v>127</v>
      </c>
      <c r="E82" s="9">
        <v>1031</v>
      </c>
      <c r="F82" s="9">
        <f t="shared" si="1"/>
        <v>1474</v>
      </c>
      <c r="H82" s="10">
        <v>95.43</v>
      </c>
      <c r="I82" s="10">
        <v>88.6</v>
      </c>
      <c r="J82" s="10">
        <v>89.17</v>
      </c>
      <c r="K82" s="10">
        <v>90.55</v>
      </c>
      <c r="M82" s="10">
        <v>107.54255999999999</v>
      </c>
      <c r="N82" s="10">
        <v>82.283839999999998</v>
      </c>
      <c r="O82" s="10">
        <v>89.867289999999997</v>
      </c>
      <c r="Q82" s="21">
        <v>1074.8800000000001</v>
      </c>
      <c r="R82" s="21">
        <v>882.6</v>
      </c>
      <c r="S82" s="21">
        <v>940.33</v>
      </c>
    </row>
    <row r="83" spans="1:19" x14ac:dyDescent="0.2">
      <c r="A83" s="9" t="s">
        <v>169</v>
      </c>
      <c r="B83" s="9" t="s">
        <v>170</v>
      </c>
      <c r="C83" s="9">
        <v>22</v>
      </c>
      <c r="D83" s="9">
        <v>0</v>
      </c>
      <c r="E83" s="9">
        <v>116</v>
      </c>
      <c r="F83" s="9">
        <f t="shared" si="1"/>
        <v>138</v>
      </c>
      <c r="H83" s="10">
        <v>163.4</v>
      </c>
      <c r="I83" s="10">
        <v>0</v>
      </c>
      <c r="J83" s="10">
        <v>177.6</v>
      </c>
      <c r="K83" s="10">
        <v>175.46</v>
      </c>
      <c r="M83" s="10">
        <v>195.33485000000002</v>
      </c>
      <c r="N83" s="10">
        <v>206.33967000000001</v>
      </c>
      <c r="O83" s="10">
        <v>204.67227</v>
      </c>
      <c r="Q83" s="21">
        <v>1336.49</v>
      </c>
      <c r="R83" s="21">
        <v>1317.72</v>
      </c>
      <c r="S83" s="21">
        <v>1320.56</v>
      </c>
    </row>
    <row r="84" spans="1:19" x14ac:dyDescent="0.2">
      <c r="A84" s="9" t="s">
        <v>171</v>
      </c>
      <c r="B84" s="9" t="s">
        <v>172</v>
      </c>
      <c r="C84" s="9">
        <v>9</v>
      </c>
      <c r="D84" s="9">
        <v>0</v>
      </c>
      <c r="E84" s="9">
        <v>50</v>
      </c>
      <c r="F84" s="9">
        <f t="shared" si="1"/>
        <v>59</v>
      </c>
      <c r="H84" s="10">
        <v>216.44</v>
      </c>
      <c r="I84" s="10">
        <v>0</v>
      </c>
      <c r="J84" s="10">
        <v>157.63</v>
      </c>
      <c r="K84" s="10">
        <v>167.25</v>
      </c>
      <c r="M84" s="10">
        <v>261.55567000000002</v>
      </c>
      <c r="N84" s="10">
        <v>217.94441</v>
      </c>
      <c r="O84" s="10">
        <v>225.08079999999998</v>
      </c>
      <c r="Q84" s="21">
        <v>1537.1</v>
      </c>
      <c r="R84" s="21">
        <v>1561.2</v>
      </c>
      <c r="S84" s="21">
        <v>1557.26</v>
      </c>
    </row>
    <row r="85" spans="1:19" x14ac:dyDescent="0.2">
      <c r="A85" s="9" t="s">
        <v>173</v>
      </c>
      <c r="B85" s="9" t="s">
        <v>174</v>
      </c>
      <c r="C85" s="9">
        <v>3</v>
      </c>
      <c r="D85" s="9">
        <v>0</v>
      </c>
      <c r="E85" s="9">
        <v>97</v>
      </c>
      <c r="F85" s="9">
        <f t="shared" si="1"/>
        <v>100</v>
      </c>
      <c r="H85" s="10">
        <v>133.33000000000001</v>
      </c>
      <c r="I85" s="10">
        <v>0</v>
      </c>
      <c r="J85" s="10">
        <v>121.47</v>
      </c>
      <c r="K85" s="10">
        <v>121.86</v>
      </c>
      <c r="M85" s="10">
        <v>252.5</v>
      </c>
      <c r="N85" s="10">
        <v>174.5575</v>
      </c>
      <c r="O85" s="10">
        <v>177.09909999999999</v>
      </c>
      <c r="Q85" s="21">
        <v>2250.9299999999998</v>
      </c>
      <c r="R85" s="21">
        <v>1551.15</v>
      </c>
      <c r="S85" s="21">
        <v>1573.97</v>
      </c>
    </row>
    <row r="86" spans="1:19" x14ac:dyDescent="0.2">
      <c r="A86" s="9" t="s">
        <v>175</v>
      </c>
      <c r="B86" s="9" t="s">
        <v>176</v>
      </c>
      <c r="C86" s="9">
        <v>16</v>
      </c>
      <c r="D86" s="9">
        <v>0</v>
      </c>
      <c r="E86" s="9">
        <v>507</v>
      </c>
      <c r="F86" s="9">
        <f t="shared" si="1"/>
        <v>523</v>
      </c>
      <c r="H86" s="10">
        <v>133.33000000000001</v>
      </c>
      <c r="I86" s="10">
        <v>0</v>
      </c>
      <c r="J86" s="10">
        <v>80.790000000000006</v>
      </c>
      <c r="K86" s="10">
        <v>82.12</v>
      </c>
      <c r="M86" s="10">
        <v>251.87508</v>
      </c>
      <c r="N86" s="10">
        <v>141.60075000000001</v>
      </c>
      <c r="O86" s="10">
        <v>144.41626000000002</v>
      </c>
      <c r="Q86" s="21">
        <v>1967.26</v>
      </c>
      <c r="R86" s="21">
        <v>1860.82</v>
      </c>
      <c r="S86" s="21">
        <v>1863.54</v>
      </c>
    </row>
    <row r="87" spans="1:19" x14ac:dyDescent="0.2">
      <c r="A87" s="9" t="s">
        <v>177</v>
      </c>
      <c r="B87" s="9" t="s">
        <v>178</v>
      </c>
      <c r="C87" s="9">
        <v>10</v>
      </c>
      <c r="D87" s="9">
        <v>0</v>
      </c>
      <c r="E87" s="9">
        <v>80</v>
      </c>
      <c r="F87" s="9">
        <f t="shared" si="1"/>
        <v>90</v>
      </c>
      <c r="H87" s="10">
        <v>103.56</v>
      </c>
      <c r="I87" s="10">
        <v>0</v>
      </c>
      <c r="J87" s="10">
        <v>117.52</v>
      </c>
      <c r="K87" s="10">
        <v>115.91</v>
      </c>
      <c r="M87" s="10">
        <v>88.511110000000002</v>
      </c>
      <c r="N87" s="10">
        <v>116.04939999999999</v>
      </c>
      <c r="O87" s="10">
        <v>112.8719</v>
      </c>
      <c r="Q87" s="21">
        <v>947.61</v>
      </c>
      <c r="R87" s="21">
        <v>1093.48</v>
      </c>
      <c r="S87" s="21">
        <v>1076.6500000000001</v>
      </c>
    </row>
    <row r="88" spans="1:19" x14ac:dyDescent="0.2">
      <c r="A88" s="9" t="s">
        <v>179</v>
      </c>
      <c r="B88" s="9" t="s">
        <v>180</v>
      </c>
      <c r="C88" s="9">
        <v>71</v>
      </c>
      <c r="D88" s="9">
        <v>0</v>
      </c>
      <c r="E88" s="9">
        <v>175</v>
      </c>
      <c r="F88" s="9">
        <f t="shared" si="1"/>
        <v>246</v>
      </c>
      <c r="H88" s="10">
        <v>88.03</v>
      </c>
      <c r="I88" s="10">
        <v>0</v>
      </c>
      <c r="J88" s="10">
        <v>83.25</v>
      </c>
      <c r="K88" s="10">
        <v>84.58</v>
      </c>
      <c r="M88" s="10">
        <v>134.24817999999999</v>
      </c>
      <c r="N88" s="10">
        <v>116.26478999999999</v>
      </c>
      <c r="O88" s="10">
        <v>121.44777999999999</v>
      </c>
      <c r="Q88" s="21">
        <v>1611.31</v>
      </c>
      <c r="R88" s="21">
        <v>1453.01</v>
      </c>
      <c r="S88" s="21">
        <v>1498.63</v>
      </c>
    </row>
    <row r="89" spans="1:19" x14ac:dyDescent="0.2">
      <c r="A89" s="9" t="s">
        <v>181</v>
      </c>
      <c r="B89" s="9" t="s">
        <v>182</v>
      </c>
      <c r="C89" s="9">
        <v>8</v>
      </c>
      <c r="D89" s="9">
        <v>0</v>
      </c>
      <c r="E89" s="9">
        <v>155</v>
      </c>
      <c r="F89" s="9">
        <f t="shared" si="1"/>
        <v>163</v>
      </c>
      <c r="H89" s="10">
        <v>88.25</v>
      </c>
      <c r="I89" s="10">
        <v>0</v>
      </c>
      <c r="J89" s="10">
        <v>104.19</v>
      </c>
      <c r="K89" s="10">
        <v>103.71</v>
      </c>
      <c r="M89" s="10">
        <v>74.670500000000004</v>
      </c>
      <c r="N89" s="10">
        <v>86.91328</v>
      </c>
      <c r="O89" s="10">
        <v>86.542289999999994</v>
      </c>
      <c r="Q89" s="21">
        <v>896.31</v>
      </c>
      <c r="R89" s="21">
        <v>866.62</v>
      </c>
      <c r="S89" s="21">
        <v>867.52</v>
      </c>
    </row>
    <row r="90" spans="1:19" x14ac:dyDescent="0.2">
      <c r="A90" s="9" t="s">
        <v>183</v>
      </c>
      <c r="B90" s="9" t="s">
        <v>184</v>
      </c>
      <c r="C90" s="9">
        <v>201</v>
      </c>
      <c r="D90" s="9">
        <v>7</v>
      </c>
      <c r="E90" s="9">
        <v>607</v>
      </c>
      <c r="F90" s="9">
        <f t="shared" si="1"/>
        <v>815</v>
      </c>
      <c r="H90" s="10">
        <v>87.33</v>
      </c>
      <c r="I90" s="10">
        <v>83.57</v>
      </c>
      <c r="J90" s="10">
        <v>89.89</v>
      </c>
      <c r="K90" s="10">
        <v>89.3</v>
      </c>
      <c r="M90" s="10">
        <v>80.154070000000004</v>
      </c>
      <c r="N90" s="10">
        <v>89.297610000000006</v>
      </c>
      <c r="O90" s="10">
        <v>87.358070000000012</v>
      </c>
      <c r="Q90" s="21">
        <v>988.44</v>
      </c>
      <c r="R90" s="21">
        <v>960.68</v>
      </c>
      <c r="S90" s="21">
        <v>966.57</v>
      </c>
    </row>
    <row r="91" spans="1:19" x14ac:dyDescent="0.2">
      <c r="A91" s="9" t="s">
        <v>185</v>
      </c>
      <c r="B91" s="9" t="s">
        <v>186</v>
      </c>
      <c r="C91" s="9">
        <v>0</v>
      </c>
      <c r="D91" s="9">
        <v>0</v>
      </c>
      <c r="E91" s="9">
        <v>254</v>
      </c>
      <c r="F91" s="9">
        <f t="shared" si="1"/>
        <v>254</v>
      </c>
      <c r="H91" s="10">
        <v>0</v>
      </c>
      <c r="I91" s="10">
        <v>0</v>
      </c>
      <c r="J91" s="10">
        <v>91.18</v>
      </c>
      <c r="K91" s="10">
        <v>91.18</v>
      </c>
      <c r="M91" s="10">
        <v>0</v>
      </c>
      <c r="N91" s="10">
        <v>138.55742999999998</v>
      </c>
      <c r="O91" s="10">
        <v>138.55742999999998</v>
      </c>
      <c r="Q91" s="21">
        <v>0</v>
      </c>
      <c r="R91" s="21">
        <v>1564.45</v>
      </c>
      <c r="S91" s="21">
        <v>1564.45</v>
      </c>
    </row>
    <row r="92" spans="1:19" x14ac:dyDescent="0.2">
      <c r="A92" s="9" t="s">
        <v>187</v>
      </c>
      <c r="B92" s="9" t="s">
        <v>188</v>
      </c>
      <c r="C92" s="9">
        <v>82</v>
      </c>
      <c r="D92" s="9">
        <v>0</v>
      </c>
      <c r="E92" s="9">
        <v>150</v>
      </c>
      <c r="F92" s="9">
        <f t="shared" si="1"/>
        <v>232</v>
      </c>
      <c r="H92" s="10">
        <v>76.989999999999995</v>
      </c>
      <c r="I92" s="10">
        <v>0</v>
      </c>
      <c r="J92" s="10">
        <v>99.38</v>
      </c>
      <c r="K92" s="10">
        <v>91.26</v>
      </c>
      <c r="M92" s="10">
        <v>294.02659999999997</v>
      </c>
      <c r="N92" s="10">
        <v>246.43036999999998</v>
      </c>
      <c r="O92" s="10">
        <v>263.77654999999999</v>
      </c>
      <c r="Q92" s="21">
        <v>4052.25</v>
      </c>
      <c r="R92" s="21">
        <v>2598.5500000000002</v>
      </c>
      <c r="S92" s="21">
        <v>3128.34</v>
      </c>
    </row>
    <row r="93" spans="1:19" x14ac:dyDescent="0.2">
      <c r="A93" s="9" t="s">
        <v>189</v>
      </c>
      <c r="B93" s="9" t="s">
        <v>190</v>
      </c>
      <c r="C93" s="9">
        <v>16</v>
      </c>
      <c r="D93" s="9">
        <v>0</v>
      </c>
      <c r="E93" s="9">
        <v>72</v>
      </c>
      <c r="F93" s="9">
        <f t="shared" si="1"/>
        <v>88</v>
      </c>
      <c r="H93" s="10">
        <v>92.25</v>
      </c>
      <c r="I93" s="10">
        <v>0</v>
      </c>
      <c r="J93" s="10">
        <v>117.71</v>
      </c>
      <c r="K93" s="10">
        <v>113.64</v>
      </c>
      <c r="M93" s="10">
        <v>132.68832999999998</v>
      </c>
      <c r="N93" s="10">
        <v>140.6472</v>
      </c>
      <c r="O93" s="10">
        <v>139.37378000000001</v>
      </c>
      <c r="Q93" s="21">
        <v>1621.94</v>
      </c>
      <c r="R93" s="21">
        <v>1320.94</v>
      </c>
      <c r="S93" s="21">
        <v>1369.1</v>
      </c>
    </row>
    <row r="94" spans="1:19" x14ac:dyDescent="0.2">
      <c r="A94" s="9" t="s">
        <v>191</v>
      </c>
      <c r="B94" s="9" t="s">
        <v>192</v>
      </c>
      <c r="C94" s="9">
        <v>1</v>
      </c>
      <c r="D94" s="9">
        <v>0</v>
      </c>
      <c r="E94" s="9">
        <v>74</v>
      </c>
      <c r="F94" s="9">
        <f t="shared" si="1"/>
        <v>75</v>
      </c>
      <c r="H94" s="10">
        <v>496</v>
      </c>
      <c r="I94" s="10">
        <v>0</v>
      </c>
      <c r="J94" s="10">
        <v>219.27</v>
      </c>
      <c r="K94" s="10">
        <v>223.59</v>
      </c>
      <c r="M94" s="10">
        <v>0</v>
      </c>
      <c r="N94" s="10">
        <v>421.32729</v>
      </c>
      <c r="O94" s="10">
        <v>420.21280000000002</v>
      </c>
      <c r="Q94" s="21">
        <v>0</v>
      </c>
      <c r="R94" s="21">
        <v>2304.19</v>
      </c>
      <c r="S94" s="21">
        <v>2279.21</v>
      </c>
    </row>
    <row r="95" spans="1:19" x14ac:dyDescent="0.2">
      <c r="A95" s="9" t="s">
        <v>193</v>
      </c>
      <c r="B95" s="9" t="s">
        <v>194</v>
      </c>
      <c r="C95" s="9">
        <v>267</v>
      </c>
      <c r="D95" s="9">
        <v>0</v>
      </c>
      <c r="E95" s="9">
        <v>1006</v>
      </c>
      <c r="F95" s="9">
        <f t="shared" si="1"/>
        <v>1273</v>
      </c>
      <c r="H95" s="10">
        <v>89.89</v>
      </c>
      <c r="I95" s="10">
        <v>0</v>
      </c>
      <c r="J95" s="10">
        <v>83.39</v>
      </c>
      <c r="K95" s="10">
        <v>84.75</v>
      </c>
      <c r="M95" s="10">
        <v>192.03447</v>
      </c>
      <c r="N95" s="10">
        <v>149.58301999999998</v>
      </c>
      <c r="O95" s="10">
        <v>158.541</v>
      </c>
      <c r="Q95" s="21">
        <v>2172.0700000000002</v>
      </c>
      <c r="R95" s="21">
        <v>1781.61</v>
      </c>
      <c r="S95" s="21">
        <v>1864</v>
      </c>
    </row>
    <row r="96" spans="1:19" x14ac:dyDescent="0.2">
      <c r="A96" s="9" t="s">
        <v>195</v>
      </c>
      <c r="B96" s="9" t="s">
        <v>196</v>
      </c>
      <c r="C96" s="9">
        <v>16</v>
      </c>
      <c r="D96" s="9">
        <v>0</v>
      </c>
      <c r="E96" s="9">
        <v>41</v>
      </c>
      <c r="F96" s="9">
        <f t="shared" si="1"/>
        <v>57</v>
      </c>
      <c r="H96" s="10">
        <v>98.33</v>
      </c>
      <c r="I96" s="10">
        <v>0</v>
      </c>
      <c r="J96" s="10">
        <v>92</v>
      </c>
      <c r="K96" s="10">
        <v>93.83</v>
      </c>
      <c r="M96" s="10">
        <v>149.51054000000002</v>
      </c>
      <c r="N96" s="10">
        <v>115.86151</v>
      </c>
      <c r="O96" s="10">
        <v>125.56796</v>
      </c>
      <c r="Q96" s="21">
        <v>1426.38</v>
      </c>
      <c r="R96" s="21">
        <v>1306.8900000000001</v>
      </c>
      <c r="S96" s="21">
        <v>1341.36</v>
      </c>
    </row>
    <row r="97" spans="1:19" x14ac:dyDescent="0.2">
      <c r="A97" s="9" t="s">
        <v>197</v>
      </c>
      <c r="B97" s="9" t="s">
        <v>198</v>
      </c>
      <c r="C97" s="9">
        <v>56</v>
      </c>
      <c r="D97" s="9">
        <v>0</v>
      </c>
      <c r="E97" s="9">
        <v>177</v>
      </c>
      <c r="F97" s="9">
        <f t="shared" si="1"/>
        <v>233</v>
      </c>
      <c r="H97" s="10">
        <v>98.9</v>
      </c>
      <c r="I97" s="10">
        <v>0</v>
      </c>
      <c r="J97" s="10">
        <v>90.74</v>
      </c>
      <c r="K97" s="10">
        <v>92.7</v>
      </c>
      <c r="M97" s="10">
        <v>219.11872</v>
      </c>
      <c r="N97" s="10">
        <v>200.92254</v>
      </c>
      <c r="O97" s="10">
        <v>205.34404000000001</v>
      </c>
      <c r="Q97" s="21">
        <v>2246.2600000000002</v>
      </c>
      <c r="R97" s="21">
        <v>2259.7399999999998</v>
      </c>
      <c r="S97" s="21">
        <v>2256.46</v>
      </c>
    </row>
    <row r="98" spans="1:19" x14ac:dyDescent="0.2">
      <c r="A98" s="9" t="s">
        <v>199</v>
      </c>
      <c r="B98" s="9" t="s">
        <v>200</v>
      </c>
      <c r="C98" s="9">
        <v>16</v>
      </c>
      <c r="D98" s="9">
        <v>3</v>
      </c>
      <c r="E98" s="9">
        <v>124</v>
      </c>
      <c r="F98" s="9">
        <f t="shared" si="1"/>
        <v>143</v>
      </c>
      <c r="H98" s="10">
        <v>127.29</v>
      </c>
      <c r="I98" s="10">
        <v>86.5</v>
      </c>
      <c r="J98" s="10">
        <v>90.32</v>
      </c>
      <c r="K98" s="10">
        <v>94.68</v>
      </c>
      <c r="M98" s="10">
        <v>69.8</v>
      </c>
      <c r="N98" s="10">
        <v>63.592330000000004</v>
      </c>
      <c r="O98" s="10">
        <v>64.427980000000005</v>
      </c>
      <c r="Q98" s="21">
        <v>558.51</v>
      </c>
      <c r="R98" s="21">
        <v>703.06</v>
      </c>
      <c r="S98" s="21">
        <v>683.6</v>
      </c>
    </row>
    <row r="99" spans="1:19" x14ac:dyDescent="0.2">
      <c r="A99" s="9" t="s">
        <v>201</v>
      </c>
      <c r="B99" s="9" t="s">
        <v>202</v>
      </c>
      <c r="C99" s="9">
        <v>57</v>
      </c>
      <c r="D99" s="9">
        <v>6</v>
      </c>
      <c r="E99" s="9">
        <v>374</v>
      </c>
      <c r="F99" s="9">
        <f t="shared" si="1"/>
        <v>437</v>
      </c>
      <c r="H99" s="10">
        <v>89.91</v>
      </c>
      <c r="I99" s="10">
        <v>65.83</v>
      </c>
      <c r="J99" s="10">
        <v>82.85</v>
      </c>
      <c r="K99" s="10">
        <v>83.46</v>
      </c>
      <c r="M99" s="10">
        <v>135.07128</v>
      </c>
      <c r="N99" s="10">
        <v>141.17421999999999</v>
      </c>
      <c r="O99" s="10">
        <v>140.29971</v>
      </c>
      <c r="Q99" s="21">
        <v>1674.11</v>
      </c>
      <c r="R99" s="21">
        <v>1792.71</v>
      </c>
      <c r="S99" s="21">
        <v>1775.72</v>
      </c>
    </row>
    <row r="100" spans="1:19" x14ac:dyDescent="0.2">
      <c r="A100" s="9" t="s">
        <v>203</v>
      </c>
      <c r="B100" s="9" t="s">
        <v>204</v>
      </c>
      <c r="C100" s="9">
        <v>0</v>
      </c>
      <c r="D100" s="9">
        <v>1</v>
      </c>
      <c r="E100" s="9">
        <v>40</v>
      </c>
      <c r="F100" s="9">
        <f t="shared" si="1"/>
        <v>41</v>
      </c>
      <c r="H100" s="10">
        <v>0</v>
      </c>
      <c r="I100" s="10">
        <v>88</v>
      </c>
      <c r="J100" s="10">
        <v>102.75</v>
      </c>
      <c r="K100" s="10">
        <v>102.24</v>
      </c>
      <c r="M100" s="10">
        <v>0</v>
      </c>
      <c r="N100" s="10">
        <v>83.977670000000003</v>
      </c>
      <c r="O100" s="10">
        <v>83.977670000000003</v>
      </c>
      <c r="Q100" s="21">
        <v>0</v>
      </c>
      <c r="R100" s="21">
        <v>809.4</v>
      </c>
      <c r="S100" s="21">
        <v>809.4</v>
      </c>
    </row>
    <row r="101" spans="1:19" x14ac:dyDescent="0.2">
      <c r="A101" s="9" t="s">
        <v>205</v>
      </c>
      <c r="B101" s="9" t="s">
        <v>206</v>
      </c>
      <c r="C101" s="9">
        <v>106</v>
      </c>
      <c r="D101" s="9">
        <v>4</v>
      </c>
      <c r="E101" s="9">
        <v>360</v>
      </c>
      <c r="F101" s="9">
        <f t="shared" si="1"/>
        <v>470</v>
      </c>
      <c r="H101" s="10">
        <v>95.02</v>
      </c>
      <c r="I101" s="10">
        <v>77.5</v>
      </c>
      <c r="J101" s="10">
        <v>85.05</v>
      </c>
      <c r="K101" s="10">
        <v>87.46</v>
      </c>
      <c r="M101" s="10">
        <v>146.91263000000001</v>
      </c>
      <c r="N101" s="10">
        <v>141.5326</v>
      </c>
      <c r="O101" s="10">
        <v>142.90477999999999</v>
      </c>
      <c r="Q101" s="21">
        <v>1620.12</v>
      </c>
      <c r="R101" s="21">
        <v>1648.88</v>
      </c>
      <c r="S101" s="21">
        <v>1641.54</v>
      </c>
    </row>
    <row r="102" spans="1:19" x14ac:dyDescent="0.2">
      <c r="A102" s="9" t="s">
        <v>207</v>
      </c>
      <c r="B102" s="9" t="s">
        <v>208</v>
      </c>
      <c r="C102" s="9">
        <v>10</v>
      </c>
      <c r="D102" s="9">
        <v>27</v>
      </c>
      <c r="E102" s="9">
        <v>78</v>
      </c>
      <c r="F102" s="9">
        <f t="shared" si="1"/>
        <v>115</v>
      </c>
      <c r="H102" s="10">
        <v>105.78</v>
      </c>
      <c r="I102" s="10">
        <v>92.41</v>
      </c>
      <c r="J102" s="10">
        <v>95.68</v>
      </c>
      <c r="K102" s="10">
        <v>95.7</v>
      </c>
      <c r="M102" s="10">
        <v>285.50115999999997</v>
      </c>
      <c r="N102" s="10">
        <v>249.59241</v>
      </c>
      <c r="O102" s="10">
        <v>253.58226999999999</v>
      </c>
      <c r="Q102" s="21">
        <v>2817.86</v>
      </c>
      <c r="R102" s="21">
        <v>2686.76</v>
      </c>
      <c r="S102" s="21">
        <v>2701.33</v>
      </c>
    </row>
    <row r="103" spans="1:19" x14ac:dyDescent="0.2">
      <c r="A103" s="9" t="s">
        <v>209</v>
      </c>
      <c r="B103" s="9" t="s">
        <v>210</v>
      </c>
      <c r="C103" s="9">
        <v>18</v>
      </c>
      <c r="D103" s="9">
        <v>1</v>
      </c>
      <c r="E103" s="9">
        <v>31</v>
      </c>
      <c r="F103" s="9">
        <f t="shared" si="1"/>
        <v>50</v>
      </c>
      <c r="H103" s="10">
        <v>81.349999999999994</v>
      </c>
      <c r="I103" s="10">
        <v>93</v>
      </c>
      <c r="J103" s="10">
        <v>90.48</v>
      </c>
      <c r="K103" s="10">
        <v>87.23</v>
      </c>
      <c r="M103" s="10">
        <v>121.66117999999999</v>
      </c>
      <c r="N103" s="10">
        <v>162.78670000000002</v>
      </c>
      <c r="O103" s="10">
        <v>146.52776999999998</v>
      </c>
      <c r="Q103" s="21">
        <v>1532.21</v>
      </c>
      <c r="R103" s="21">
        <v>1675.1</v>
      </c>
      <c r="S103" s="21">
        <v>1618.61</v>
      </c>
    </row>
    <row r="104" spans="1:19" x14ac:dyDescent="0.2">
      <c r="A104" s="9" t="s">
        <v>211</v>
      </c>
      <c r="B104" s="9" t="s">
        <v>212</v>
      </c>
      <c r="C104" s="9">
        <v>20</v>
      </c>
      <c r="D104" s="9">
        <v>1</v>
      </c>
      <c r="E104" s="9">
        <v>108</v>
      </c>
      <c r="F104" s="9">
        <f t="shared" si="1"/>
        <v>129</v>
      </c>
      <c r="H104" s="10">
        <v>87.5</v>
      </c>
      <c r="I104" s="10">
        <v>0</v>
      </c>
      <c r="J104" s="10">
        <v>93.23</v>
      </c>
      <c r="K104" s="10">
        <v>92.29</v>
      </c>
      <c r="M104" s="10">
        <v>124.87778</v>
      </c>
      <c r="N104" s="10">
        <v>157.77117999999999</v>
      </c>
      <c r="O104" s="10">
        <v>151.85037</v>
      </c>
      <c r="Q104" s="21">
        <v>1385.6</v>
      </c>
      <c r="R104" s="21">
        <v>1586.01</v>
      </c>
      <c r="S104" s="21">
        <v>1549.94</v>
      </c>
    </row>
    <row r="105" spans="1:19" x14ac:dyDescent="0.2">
      <c r="A105" s="9" t="s">
        <v>213</v>
      </c>
      <c r="B105" s="9" t="s">
        <v>214</v>
      </c>
      <c r="C105" s="9">
        <v>1</v>
      </c>
      <c r="D105" s="9">
        <v>0</v>
      </c>
      <c r="E105" s="9">
        <v>426</v>
      </c>
      <c r="F105" s="9">
        <f t="shared" si="1"/>
        <v>427</v>
      </c>
      <c r="H105" s="10">
        <v>170</v>
      </c>
      <c r="I105" s="10">
        <v>0</v>
      </c>
      <c r="J105" s="10">
        <v>92.59</v>
      </c>
      <c r="K105" s="10">
        <v>92.79</v>
      </c>
      <c r="M105" s="10">
        <v>0</v>
      </c>
      <c r="N105" s="10">
        <v>175.78760999999997</v>
      </c>
      <c r="O105" s="10">
        <v>175.66122000000001</v>
      </c>
      <c r="Q105" s="21">
        <v>0</v>
      </c>
      <c r="R105" s="21">
        <v>1966.28</v>
      </c>
      <c r="S105" s="21">
        <v>1963.12</v>
      </c>
    </row>
    <row r="106" spans="1:19" x14ac:dyDescent="0.2">
      <c r="A106" s="9" t="s">
        <v>215</v>
      </c>
      <c r="B106" s="9" t="s">
        <v>216</v>
      </c>
      <c r="C106" s="9">
        <v>3</v>
      </c>
      <c r="D106" s="9">
        <v>0</v>
      </c>
      <c r="E106" s="9">
        <v>36</v>
      </c>
      <c r="F106" s="9">
        <f t="shared" si="1"/>
        <v>39</v>
      </c>
      <c r="H106" s="10">
        <v>50</v>
      </c>
      <c r="I106" s="10">
        <v>0</v>
      </c>
      <c r="J106" s="10">
        <v>99.59</v>
      </c>
      <c r="K106" s="10">
        <v>96.17</v>
      </c>
      <c r="M106" s="10">
        <v>41.5</v>
      </c>
      <c r="N106" s="10">
        <v>64.11063</v>
      </c>
      <c r="O106" s="10">
        <v>62.495580000000004</v>
      </c>
      <c r="Q106" s="21">
        <v>1059.77</v>
      </c>
      <c r="R106" s="21">
        <v>631.49</v>
      </c>
      <c r="S106" s="21">
        <v>662.08</v>
      </c>
    </row>
    <row r="107" spans="1:19" x14ac:dyDescent="0.2">
      <c r="A107" s="9" t="s">
        <v>217</v>
      </c>
      <c r="B107" s="9" t="s">
        <v>218</v>
      </c>
      <c r="C107" s="9">
        <v>10</v>
      </c>
      <c r="D107" s="9">
        <v>0</v>
      </c>
      <c r="E107" s="9">
        <v>32</v>
      </c>
      <c r="F107" s="9">
        <f t="shared" si="1"/>
        <v>42</v>
      </c>
      <c r="H107" s="10">
        <v>156.11000000000001</v>
      </c>
      <c r="I107" s="10">
        <v>0</v>
      </c>
      <c r="J107" s="10">
        <v>124.16</v>
      </c>
      <c r="K107" s="10">
        <v>131.35</v>
      </c>
      <c r="M107" s="10">
        <v>169.61111</v>
      </c>
      <c r="N107" s="10">
        <v>154.11945</v>
      </c>
      <c r="O107" s="10">
        <v>157.60507000000001</v>
      </c>
      <c r="Q107" s="21">
        <v>1579.95</v>
      </c>
      <c r="R107" s="21">
        <v>1510.15</v>
      </c>
      <c r="S107" s="21">
        <v>1525.85</v>
      </c>
    </row>
    <row r="108" spans="1:19" x14ac:dyDescent="0.2">
      <c r="A108" s="9" t="s">
        <v>219</v>
      </c>
      <c r="B108" s="9" t="s">
        <v>220</v>
      </c>
      <c r="C108" s="9">
        <v>11</v>
      </c>
      <c r="D108" s="9">
        <v>1</v>
      </c>
      <c r="E108" s="9">
        <v>25</v>
      </c>
      <c r="F108" s="9">
        <f t="shared" si="1"/>
        <v>37</v>
      </c>
      <c r="H108" s="10">
        <v>97.33</v>
      </c>
      <c r="I108" s="10">
        <v>37</v>
      </c>
      <c r="J108" s="10">
        <v>89.7</v>
      </c>
      <c r="K108" s="10">
        <v>89.44</v>
      </c>
      <c r="M108" s="10">
        <v>67</v>
      </c>
      <c r="N108" s="10">
        <v>79.914330000000007</v>
      </c>
      <c r="O108" s="10">
        <v>76.934100000000001</v>
      </c>
      <c r="Q108" s="21">
        <v>679.7</v>
      </c>
      <c r="R108" s="21">
        <v>1125.23</v>
      </c>
      <c r="S108" s="21">
        <v>1022.42</v>
      </c>
    </row>
    <row r="109" spans="1:19" x14ac:dyDescent="0.2">
      <c r="A109" s="9" t="s">
        <v>221</v>
      </c>
      <c r="B109" s="9" t="s">
        <v>222</v>
      </c>
      <c r="C109" s="9">
        <v>0</v>
      </c>
      <c r="D109" s="9">
        <v>0</v>
      </c>
      <c r="E109" s="9">
        <v>247</v>
      </c>
      <c r="F109" s="9">
        <f t="shared" si="1"/>
        <v>247</v>
      </c>
      <c r="H109" s="10">
        <v>0</v>
      </c>
      <c r="I109" s="10">
        <v>0</v>
      </c>
      <c r="J109" s="10">
        <v>92.31</v>
      </c>
      <c r="K109" s="10">
        <v>92.31</v>
      </c>
      <c r="M109" s="10">
        <v>0</v>
      </c>
      <c r="N109" s="10">
        <v>133.77014000000003</v>
      </c>
      <c r="O109" s="10">
        <v>133.77014000000003</v>
      </c>
      <c r="Q109" s="21">
        <v>0</v>
      </c>
      <c r="R109" s="21">
        <v>1507.27</v>
      </c>
      <c r="S109" s="21">
        <v>1507.27</v>
      </c>
    </row>
    <row r="110" spans="1:19" x14ac:dyDescent="0.2">
      <c r="A110" s="9" t="s">
        <v>223</v>
      </c>
      <c r="B110" s="9" t="s">
        <v>224</v>
      </c>
      <c r="C110" s="9">
        <v>211</v>
      </c>
      <c r="D110" s="9">
        <v>20</v>
      </c>
      <c r="E110" s="9">
        <v>196</v>
      </c>
      <c r="F110" s="9">
        <f t="shared" si="1"/>
        <v>427</v>
      </c>
      <c r="H110" s="10">
        <v>89.91</v>
      </c>
      <c r="I110" s="10">
        <v>82.78</v>
      </c>
      <c r="J110" s="10">
        <v>86.26</v>
      </c>
      <c r="K110" s="10">
        <v>87.55</v>
      </c>
      <c r="M110" s="10">
        <v>99.657640000000001</v>
      </c>
      <c r="N110" s="10">
        <v>98.854889999999997</v>
      </c>
      <c r="O110" s="10">
        <v>99.243030000000005</v>
      </c>
      <c r="Q110" s="21">
        <v>1172.3499999999999</v>
      </c>
      <c r="R110" s="21">
        <v>1182.3900000000001</v>
      </c>
      <c r="S110" s="21">
        <v>1177.54</v>
      </c>
    </row>
    <row r="111" spans="1:19" x14ac:dyDescent="0.2">
      <c r="A111" s="9" t="s">
        <v>225</v>
      </c>
      <c r="B111" s="9" t="s">
        <v>226</v>
      </c>
      <c r="C111" s="9">
        <v>14</v>
      </c>
      <c r="D111" s="9">
        <v>0</v>
      </c>
      <c r="E111" s="9">
        <v>82</v>
      </c>
      <c r="F111" s="9">
        <f t="shared" si="1"/>
        <v>96</v>
      </c>
      <c r="H111" s="10">
        <v>117.8</v>
      </c>
      <c r="I111" s="10">
        <v>0</v>
      </c>
      <c r="J111" s="10">
        <v>107.72</v>
      </c>
      <c r="K111" s="10">
        <v>108.92</v>
      </c>
      <c r="M111" s="10">
        <v>145.39750000000001</v>
      </c>
      <c r="N111" s="10">
        <v>126.38474000000001</v>
      </c>
      <c r="O111" s="10">
        <v>128.67543000000001</v>
      </c>
      <c r="Q111" s="21">
        <v>1334.49</v>
      </c>
      <c r="R111" s="21">
        <v>1286.08</v>
      </c>
      <c r="S111" s="21">
        <v>1291.9100000000001</v>
      </c>
    </row>
    <row r="112" spans="1:19" x14ac:dyDescent="0.2">
      <c r="A112" s="9" t="s">
        <v>227</v>
      </c>
      <c r="B112" s="9" t="s">
        <v>228</v>
      </c>
      <c r="C112" s="9">
        <v>81</v>
      </c>
      <c r="D112" s="9">
        <v>1</v>
      </c>
      <c r="E112" s="9">
        <v>434</v>
      </c>
      <c r="F112" s="9">
        <f t="shared" si="1"/>
        <v>516</v>
      </c>
      <c r="H112" s="10">
        <v>106.14</v>
      </c>
      <c r="I112" s="10">
        <v>33</v>
      </c>
      <c r="J112" s="10">
        <v>94.93</v>
      </c>
      <c r="K112" s="10">
        <v>96.57</v>
      </c>
      <c r="M112" s="10">
        <v>308.52627000000001</v>
      </c>
      <c r="N112" s="10">
        <v>180.72288</v>
      </c>
      <c r="O112" s="10">
        <v>201.50848999999999</v>
      </c>
      <c r="Q112" s="21">
        <v>2891.46</v>
      </c>
      <c r="R112" s="21">
        <v>2001</v>
      </c>
      <c r="S112" s="21">
        <v>2145.8200000000002</v>
      </c>
    </row>
    <row r="113" spans="1:19" x14ac:dyDescent="0.2">
      <c r="A113" s="9" t="s">
        <v>229</v>
      </c>
      <c r="B113" s="9" t="s">
        <v>230</v>
      </c>
      <c r="C113" s="9">
        <v>90</v>
      </c>
      <c r="D113" s="9">
        <v>1</v>
      </c>
      <c r="E113" s="9">
        <v>242</v>
      </c>
      <c r="F113" s="9">
        <f t="shared" si="1"/>
        <v>333</v>
      </c>
      <c r="H113" s="10">
        <v>88.09</v>
      </c>
      <c r="I113" s="10">
        <v>90</v>
      </c>
      <c r="J113" s="10">
        <v>84.97</v>
      </c>
      <c r="K113" s="10">
        <v>85.85</v>
      </c>
      <c r="M113" s="10">
        <v>196.11989000000003</v>
      </c>
      <c r="N113" s="10">
        <v>160.54945999999998</v>
      </c>
      <c r="O113" s="10">
        <v>170.55008999999998</v>
      </c>
      <c r="Q113" s="21">
        <v>2365.5500000000002</v>
      </c>
      <c r="R113" s="21">
        <v>2115.31</v>
      </c>
      <c r="S113" s="21">
        <v>2185.67</v>
      </c>
    </row>
    <row r="114" spans="1:19" x14ac:dyDescent="0.2">
      <c r="A114" s="9" t="s">
        <v>231</v>
      </c>
      <c r="B114" s="9" t="s">
        <v>232</v>
      </c>
      <c r="C114" s="9">
        <v>5</v>
      </c>
      <c r="D114" s="9">
        <v>0</v>
      </c>
      <c r="E114" s="9">
        <v>100</v>
      </c>
      <c r="F114" s="9">
        <f t="shared" si="1"/>
        <v>105</v>
      </c>
      <c r="H114" s="10">
        <v>221.33</v>
      </c>
      <c r="I114" s="10">
        <v>0</v>
      </c>
      <c r="J114" s="10">
        <v>131.59</v>
      </c>
      <c r="K114" s="10">
        <v>134.47999999999999</v>
      </c>
      <c r="M114" s="10">
        <v>296.66667000000001</v>
      </c>
      <c r="N114" s="10">
        <v>221.40724</v>
      </c>
      <c r="O114" s="10">
        <v>223.83496</v>
      </c>
      <c r="Q114" s="21">
        <v>1468.53</v>
      </c>
      <c r="R114" s="21">
        <v>1854.14</v>
      </c>
      <c r="S114" s="21">
        <v>1841.7</v>
      </c>
    </row>
    <row r="115" spans="1:19" x14ac:dyDescent="0.2">
      <c r="A115" s="9" t="s">
        <v>233</v>
      </c>
      <c r="B115" s="9" t="s">
        <v>234</v>
      </c>
      <c r="C115" s="9">
        <v>19</v>
      </c>
      <c r="D115" s="9">
        <v>1</v>
      </c>
      <c r="E115" s="9">
        <v>95</v>
      </c>
      <c r="F115" s="9">
        <f t="shared" si="1"/>
        <v>115</v>
      </c>
      <c r="H115" s="10">
        <v>93.06</v>
      </c>
      <c r="I115" s="10">
        <v>83</v>
      </c>
      <c r="J115" s="10">
        <v>109.54</v>
      </c>
      <c r="K115" s="10">
        <v>106.38</v>
      </c>
      <c r="M115" s="10">
        <v>193.96471</v>
      </c>
      <c r="N115" s="10">
        <v>198.81475</v>
      </c>
      <c r="O115" s="10">
        <v>197.88834</v>
      </c>
      <c r="Q115" s="21">
        <v>2125.5100000000002</v>
      </c>
      <c r="R115" s="21">
        <v>1964.66</v>
      </c>
      <c r="S115" s="21">
        <v>1995.38</v>
      </c>
    </row>
    <row r="116" spans="1:19" x14ac:dyDescent="0.2">
      <c r="A116" s="9" t="s">
        <v>235</v>
      </c>
      <c r="B116" s="9" t="s">
        <v>236</v>
      </c>
      <c r="C116" s="9">
        <v>35</v>
      </c>
      <c r="D116" s="9">
        <v>2</v>
      </c>
      <c r="E116" s="9">
        <v>145</v>
      </c>
      <c r="F116" s="9">
        <f t="shared" si="1"/>
        <v>182</v>
      </c>
      <c r="H116" s="10">
        <v>89.33</v>
      </c>
      <c r="I116" s="10">
        <v>80.5</v>
      </c>
      <c r="J116" s="10">
        <v>97.3</v>
      </c>
      <c r="K116" s="10">
        <v>95.57</v>
      </c>
      <c r="M116" s="10">
        <v>157.78970000000001</v>
      </c>
      <c r="N116" s="10">
        <v>175.00445000000002</v>
      </c>
      <c r="O116" s="10">
        <v>171.60679999999999</v>
      </c>
      <c r="Q116" s="21">
        <v>2040.18</v>
      </c>
      <c r="R116" s="21">
        <v>1911.34</v>
      </c>
      <c r="S116" s="21">
        <v>1936.77</v>
      </c>
    </row>
    <row r="117" spans="1:19" x14ac:dyDescent="0.2">
      <c r="A117" s="9" t="s">
        <v>237</v>
      </c>
      <c r="B117" s="9" t="s">
        <v>238</v>
      </c>
      <c r="C117" s="9">
        <v>31</v>
      </c>
      <c r="D117" s="9">
        <v>0</v>
      </c>
      <c r="E117" s="9">
        <v>133</v>
      </c>
      <c r="F117" s="9">
        <f t="shared" si="1"/>
        <v>164</v>
      </c>
      <c r="H117" s="10">
        <v>125.57</v>
      </c>
      <c r="I117" s="10">
        <v>0</v>
      </c>
      <c r="J117" s="10">
        <v>119.94</v>
      </c>
      <c r="K117" s="10">
        <v>121.03</v>
      </c>
      <c r="M117" s="10">
        <v>123.29553999999999</v>
      </c>
      <c r="N117" s="10">
        <v>117.10428</v>
      </c>
      <c r="O117" s="10">
        <v>118.29983</v>
      </c>
      <c r="Q117" s="21">
        <v>1100.25</v>
      </c>
      <c r="R117" s="21">
        <v>1048.03</v>
      </c>
      <c r="S117" s="21">
        <v>1058.1099999999999</v>
      </c>
    </row>
    <row r="118" spans="1:19" x14ac:dyDescent="0.2">
      <c r="A118" s="9" t="s">
        <v>239</v>
      </c>
      <c r="B118" s="9" t="s">
        <v>240</v>
      </c>
      <c r="C118" s="9">
        <v>59</v>
      </c>
      <c r="D118" s="9">
        <v>1</v>
      </c>
      <c r="E118" s="9">
        <v>395</v>
      </c>
      <c r="F118" s="9">
        <f t="shared" si="1"/>
        <v>455</v>
      </c>
      <c r="H118" s="10">
        <v>79.17</v>
      </c>
      <c r="I118" s="10">
        <v>93</v>
      </c>
      <c r="J118" s="10">
        <v>80.180000000000007</v>
      </c>
      <c r="K118" s="10">
        <v>80.099999999999994</v>
      </c>
      <c r="M118" s="10">
        <v>134.34890999999999</v>
      </c>
      <c r="N118" s="10">
        <v>120.07999000000001</v>
      </c>
      <c r="O118" s="10">
        <v>121.83559</v>
      </c>
      <c r="Q118" s="21">
        <v>1676.85</v>
      </c>
      <c r="R118" s="21">
        <v>1599.69</v>
      </c>
      <c r="S118" s="21">
        <v>1609.18</v>
      </c>
    </row>
    <row r="119" spans="1:19" x14ac:dyDescent="0.2">
      <c r="A119" s="9" t="s">
        <v>241</v>
      </c>
      <c r="B119" s="9" t="s">
        <v>242</v>
      </c>
      <c r="C119" s="9">
        <v>6</v>
      </c>
      <c r="D119" s="9">
        <v>31</v>
      </c>
      <c r="E119" s="9">
        <v>80</v>
      </c>
      <c r="F119" s="9">
        <f t="shared" si="1"/>
        <v>117</v>
      </c>
      <c r="H119" s="10">
        <v>95.6</v>
      </c>
      <c r="I119" s="10">
        <v>82.4</v>
      </c>
      <c r="J119" s="10">
        <v>103.62</v>
      </c>
      <c r="K119" s="10">
        <v>97.35</v>
      </c>
      <c r="M119" s="10">
        <v>75.8</v>
      </c>
      <c r="N119" s="10">
        <v>164.58957999999998</v>
      </c>
      <c r="O119" s="10">
        <v>157.75960999999998</v>
      </c>
      <c r="Q119" s="21">
        <v>881.96</v>
      </c>
      <c r="R119" s="21">
        <v>1613.87</v>
      </c>
      <c r="S119" s="21">
        <v>1557.57</v>
      </c>
    </row>
    <row r="120" spans="1:19" x14ac:dyDescent="0.2">
      <c r="A120" s="9" t="s">
        <v>243</v>
      </c>
      <c r="B120" s="9" t="s">
        <v>244</v>
      </c>
      <c r="C120" s="9">
        <v>49</v>
      </c>
      <c r="D120" s="9">
        <v>0</v>
      </c>
      <c r="E120" s="9">
        <v>392</v>
      </c>
      <c r="F120" s="9">
        <f t="shared" si="1"/>
        <v>441</v>
      </c>
      <c r="H120" s="10">
        <v>86.27</v>
      </c>
      <c r="I120" s="10">
        <v>0</v>
      </c>
      <c r="J120" s="10">
        <v>76.95</v>
      </c>
      <c r="K120" s="10">
        <v>77.959999999999994</v>
      </c>
      <c r="M120" s="10">
        <v>241.26694000000001</v>
      </c>
      <c r="N120" s="10">
        <v>174.9477</v>
      </c>
      <c r="O120" s="10">
        <v>182.21798999999999</v>
      </c>
      <c r="Q120" s="21">
        <v>2851.44</v>
      </c>
      <c r="R120" s="21">
        <v>2389.69</v>
      </c>
      <c r="S120" s="21">
        <v>2440.31</v>
      </c>
    </row>
    <row r="121" spans="1:19" x14ac:dyDescent="0.2">
      <c r="A121" s="9" t="s">
        <v>245</v>
      </c>
      <c r="B121" s="9" t="s">
        <v>246</v>
      </c>
      <c r="C121" s="9">
        <v>2</v>
      </c>
      <c r="D121" s="9">
        <v>0</v>
      </c>
      <c r="E121" s="9">
        <v>77</v>
      </c>
      <c r="F121" s="9">
        <f t="shared" si="1"/>
        <v>79</v>
      </c>
      <c r="H121" s="10">
        <v>315</v>
      </c>
      <c r="I121" s="10">
        <v>0</v>
      </c>
      <c r="J121" s="10">
        <v>140.38999999999999</v>
      </c>
      <c r="K121" s="10">
        <v>142.96</v>
      </c>
      <c r="M121" s="10">
        <v>0</v>
      </c>
      <c r="N121" s="10">
        <v>342.76695000000001</v>
      </c>
      <c r="O121" s="10">
        <v>347.65439000000003</v>
      </c>
      <c r="Q121" s="21">
        <v>0</v>
      </c>
      <c r="R121" s="21">
        <v>2469.6799999999998</v>
      </c>
      <c r="S121" s="21">
        <v>2465.17</v>
      </c>
    </row>
    <row r="122" spans="1:19" x14ac:dyDescent="0.2">
      <c r="A122" s="9" t="s">
        <v>247</v>
      </c>
      <c r="B122" s="9" t="s">
        <v>248</v>
      </c>
      <c r="C122" s="9">
        <v>7</v>
      </c>
      <c r="D122" s="9">
        <v>0</v>
      </c>
      <c r="E122" s="9">
        <v>205</v>
      </c>
      <c r="F122" s="9">
        <f t="shared" si="1"/>
        <v>212</v>
      </c>
      <c r="H122" s="10">
        <v>111</v>
      </c>
      <c r="I122" s="10">
        <v>0</v>
      </c>
      <c r="J122" s="10">
        <v>98.99</v>
      </c>
      <c r="K122" s="10">
        <v>99.3</v>
      </c>
      <c r="M122" s="10">
        <v>340.9</v>
      </c>
      <c r="N122" s="10">
        <v>226.74239</v>
      </c>
      <c r="O122" s="10">
        <v>229.68460000000002</v>
      </c>
      <c r="Q122" s="21">
        <v>2806.99</v>
      </c>
      <c r="R122" s="21">
        <v>2362.2600000000002</v>
      </c>
      <c r="S122" s="21">
        <v>2373.7199999999998</v>
      </c>
    </row>
    <row r="123" spans="1:19" x14ac:dyDescent="0.2">
      <c r="A123" s="9" t="s">
        <v>249</v>
      </c>
      <c r="B123" s="9" t="s">
        <v>250</v>
      </c>
      <c r="C123" s="9">
        <v>8</v>
      </c>
      <c r="D123" s="9">
        <v>0</v>
      </c>
      <c r="E123" s="9">
        <v>69</v>
      </c>
      <c r="F123" s="9">
        <f t="shared" si="1"/>
        <v>77</v>
      </c>
      <c r="H123" s="10">
        <v>146.86000000000001</v>
      </c>
      <c r="I123" s="10">
        <v>0</v>
      </c>
      <c r="J123" s="10">
        <v>100.73</v>
      </c>
      <c r="K123" s="10">
        <v>105.28</v>
      </c>
      <c r="M123" s="10">
        <v>372.52857</v>
      </c>
      <c r="N123" s="10">
        <v>209.56322</v>
      </c>
      <c r="O123" s="10">
        <v>225.63023000000001</v>
      </c>
      <c r="Q123" s="21">
        <v>2331.5100000000002</v>
      </c>
      <c r="R123" s="21">
        <v>2040.23</v>
      </c>
      <c r="S123" s="21">
        <v>2068.9499999999998</v>
      </c>
    </row>
    <row r="124" spans="1:19" x14ac:dyDescent="0.2">
      <c r="A124" s="9" t="s">
        <v>251</v>
      </c>
      <c r="B124" s="9" t="s">
        <v>252</v>
      </c>
      <c r="C124" s="9">
        <v>115</v>
      </c>
      <c r="D124" s="9">
        <v>22</v>
      </c>
      <c r="E124" s="9">
        <v>1045</v>
      </c>
      <c r="F124" s="9">
        <f t="shared" si="1"/>
        <v>1182</v>
      </c>
      <c r="H124" s="10">
        <v>126.41</v>
      </c>
      <c r="I124" s="10">
        <v>77.05</v>
      </c>
      <c r="J124" s="10">
        <v>91.35</v>
      </c>
      <c r="K124" s="10">
        <v>94.6</v>
      </c>
      <c r="M124" s="10">
        <v>155.68251000000001</v>
      </c>
      <c r="N124" s="10">
        <v>97.292839999999998</v>
      </c>
      <c r="O124" s="10">
        <v>103.98202000000001</v>
      </c>
      <c r="Q124" s="21">
        <v>1225.82</v>
      </c>
      <c r="R124" s="21">
        <v>1003.09</v>
      </c>
      <c r="S124" s="21">
        <v>1028.6099999999999</v>
      </c>
    </row>
    <row r="125" spans="1:19" x14ac:dyDescent="0.2">
      <c r="A125" s="9" t="s">
        <v>253</v>
      </c>
      <c r="B125" s="9" t="s">
        <v>254</v>
      </c>
      <c r="C125" s="9">
        <v>7</v>
      </c>
      <c r="D125" s="9">
        <v>0</v>
      </c>
      <c r="E125" s="9">
        <v>39</v>
      </c>
      <c r="F125" s="9">
        <f t="shared" si="1"/>
        <v>46</v>
      </c>
      <c r="H125" s="10">
        <v>63.5</v>
      </c>
      <c r="I125" s="10">
        <v>0</v>
      </c>
      <c r="J125" s="10">
        <v>79.72</v>
      </c>
      <c r="K125" s="10">
        <v>77.75</v>
      </c>
      <c r="M125" s="10">
        <v>31.75</v>
      </c>
      <c r="N125" s="10">
        <v>93.701279999999997</v>
      </c>
      <c r="O125" s="10">
        <v>86.192030000000003</v>
      </c>
      <c r="Q125" s="21">
        <v>456.72</v>
      </c>
      <c r="R125" s="21">
        <v>1097.92</v>
      </c>
      <c r="S125" s="21">
        <v>1020.2</v>
      </c>
    </row>
    <row r="126" spans="1:19" x14ac:dyDescent="0.2">
      <c r="A126" s="9" t="s">
        <v>255</v>
      </c>
      <c r="B126" s="9" t="s">
        <v>256</v>
      </c>
      <c r="C126" s="9">
        <v>29</v>
      </c>
      <c r="D126" s="9">
        <v>3</v>
      </c>
      <c r="E126" s="9">
        <v>389</v>
      </c>
      <c r="F126" s="9">
        <f t="shared" si="1"/>
        <v>421</v>
      </c>
      <c r="H126" s="10">
        <v>72.36</v>
      </c>
      <c r="I126" s="10">
        <v>85</v>
      </c>
      <c r="J126" s="10">
        <v>75.91</v>
      </c>
      <c r="K126" s="10">
        <v>75.73</v>
      </c>
      <c r="M126" s="10">
        <v>123.94553000000001</v>
      </c>
      <c r="N126" s="10">
        <v>172.53951000000001</v>
      </c>
      <c r="O126" s="10">
        <v>169.04174</v>
      </c>
      <c r="Q126" s="21">
        <v>1607.62</v>
      </c>
      <c r="R126" s="21">
        <v>2232.58</v>
      </c>
      <c r="S126" s="21">
        <v>2187.6</v>
      </c>
    </row>
    <row r="127" spans="1:19" x14ac:dyDescent="0.2">
      <c r="A127" s="9" t="s">
        <v>257</v>
      </c>
      <c r="B127" s="9" t="s">
        <v>258</v>
      </c>
      <c r="C127" s="9">
        <v>14</v>
      </c>
      <c r="D127" s="9">
        <v>0</v>
      </c>
      <c r="E127" s="9">
        <v>31</v>
      </c>
      <c r="F127" s="9">
        <f t="shared" si="1"/>
        <v>45</v>
      </c>
      <c r="H127" s="10">
        <v>119.38</v>
      </c>
      <c r="I127" s="10">
        <v>0</v>
      </c>
      <c r="J127" s="10">
        <v>114</v>
      </c>
      <c r="K127" s="10">
        <v>115.67</v>
      </c>
      <c r="M127" s="10">
        <v>113.52471000000001</v>
      </c>
      <c r="N127" s="10">
        <v>120.43138999999999</v>
      </c>
      <c r="O127" s="10">
        <v>118.24147000000001</v>
      </c>
      <c r="Q127" s="21">
        <v>919.5</v>
      </c>
      <c r="R127" s="21">
        <v>1008.59</v>
      </c>
      <c r="S127" s="21">
        <v>980.34</v>
      </c>
    </row>
    <row r="128" spans="1:19" x14ac:dyDescent="0.2">
      <c r="A128" s="9" t="s">
        <v>259</v>
      </c>
      <c r="B128" s="9" t="s">
        <v>260</v>
      </c>
      <c r="C128" s="9">
        <v>13</v>
      </c>
      <c r="D128" s="9">
        <v>0</v>
      </c>
      <c r="E128" s="9">
        <v>116</v>
      </c>
      <c r="F128" s="9">
        <f t="shared" si="1"/>
        <v>129</v>
      </c>
      <c r="H128" s="10">
        <v>174.33</v>
      </c>
      <c r="I128" s="10">
        <v>0</v>
      </c>
      <c r="J128" s="10">
        <v>114.13</v>
      </c>
      <c r="K128" s="10">
        <v>121.73</v>
      </c>
      <c r="M128" s="10">
        <v>278.93016999999998</v>
      </c>
      <c r="N128" s="10">
        <v>196.44436999999999</v>
      </c>
      <c r="O128" s="10">
        <v>207.69243</v>
      </c>
      <c r="Q128" s="21">
        <v>1715.11</v>
      </c>
      <c r="R128" s="21">
        <v>1848.1</v>
      </c>
      <c r="S128" s="21">
        <v>1829.96</v>
      </c>
    </row>
    <row r="129" spans="1:19" x14ac:dyDescent="0.2">
      <c r="A129" s="9" t="s">
        <v>261</v>
      </c>
      <c r="B129" s="9" t="s">
        <v>262</v>
      </c>
      <c r="C129" s="9">
        <v>17</v>
      </c>
      <c r="D129" s="9">
        <v>0</v>
      </c>
      <c r="E129" s="9">
        <v>108</v>
      </c>
      <c r="F129" s="9">
        <f t="shared" si="1"/>
        <v>125</v>
      </c>
      <c r="H129" s="10">
        <v>109.31</v>
      </c>
      <c r="I129" s="10">
        <v>0</v>
      </c>
      <c r="J129" s="10">
        <v>97.07</v>
      </c>
      <c r="K129" s="10">
        <v>98.73</v>
      </c>
      <c r="M129" s="10">
        <v>210.727</v>
      </c>
      <c r="N129" s="10">
        <v>130.47635</v>
      </c>
      <c r="O129" s="10">
        <v>141.64166</v>
      </c>
      <c r="Q129" s="21">
        <v>2077.5700000000002</v>
      </c>
      <c r="R129" s="21">
        <v>1442.36</v>
      </c>
      <c r="S129" s="21">
        <v>1530.74</v>
      </c>
    </row>
    <row r="130" spans="1:19" x14ac:dyDescent="0.2">
      <c r="A130" s="9" t="s">
        <v>263</v>
      </c>
      <c r="B130" s="9" t="s">
        <v>264</v>
      </c>
      <c r="C130" s="9">
        <v>8</v>
      </c>
      <c r="D130" s="9">
        <v>0</v>
      </c>
      <c r="E130" s="9">
        <v>65</v>
      </c>
      <c r="F130" s="9">
        <f t="shared" si="1"/>
        <v>73</v>
      </c>
      <c r="H130" s="10">
        <v>81</v>
      </c>
      <c r="I130" s="10">
        <v>0</v>
      </c>
      <c r="J130" s="10">
        <v>99.55</v>
      </c>
      <c r="K130" s="10">
        <v>97.15</v>
      </c>
      <c r="M130" s="10">
        <v>87.943520000000007</v>
      </c>
      <c r="N130" s="10">
        <v>77.907640000000001</v>
      </c>
      <c r="O130" s="10">
        <v>79.208590000000001</v>
      </c>
      <c r="Q130" s="21">
        <v>1045.42</v>
      </c>
      <c r="R130" s="21">
        <v>829.3</v>
      </c>
      <c r="S130" s="21">
        <v>857.32</v>
      </c>
    </row>
    <row r="131" spans="1:19" x14ac:dyDescent="0.2">
      <c r="A131" s="9" t="s">
        <v>265</v>
      </c>
      <c r="B131" s="9" t="s">
        <v>266</v>
      </c>
      <c r="C131" s="9">
        <v>0</v>
      </c>
      <c r="D131" s="9">
        <v>0</v>
      </c>
      <c r="E131" s="9">
        <v>36</v>
      </c>
      <c r="F131" s="9">
        <f t="shared" si="1"/>
        <v>36</v>
      </c>
      <c r="H131" s="10">
        <v>0</v>
      </c>
      <c r="I131" s="10">
        <v>0</v>
      </c>
      <c r="J131" s="10">
        <v>128.9</v>
      </c>
      <c r="K131" s="10">
        <v>128.9</v>
      </c>
      <c r="M131" s="10">
        <v>0</v>
      </c>
      <c r="N131" s="10">
        <v>89.600729999999999</v>
      </c>
      <c r="O131" s="10">
        <v>89.600729999999999</v>
      </c>
      <c r="Q131" s="21">
        <v>0</v>
      </c>
      <c r="R131" s="21">
        <v>712.44</v>
      </c>
      <c r="S131" s="21">
        <v>712.44</v>
      </c>
    </row>
    <row r="132" spans="1:19" x14ac:dyDescent="0.2">
      <c r="A132" s="9" t="s">
        <v>267</v>
      </c>
      <c r="B132" s="9" t="s">
        <v>268</v>
      </c>
      <c r="C132" s="9">
        <v>4</v>
      </c>
      <c r="D132" s="9">
        <v>0</v>
      </c>
      <c r="E132" s="9">
        <v>641</v>
      </c>
      <c r="F132" s="9">
        <f t="shared" si="1"/>
        <v>645</v>
      </c>
      <c r="H132" s="10">
        <v>87.25</v>
      </c>
      <c r="I132" s="10">
        <v>0</v>
      </c>
      <c r="J132" s="10">
        <v>69.63</v>
      </c>
      <c r="K132" s="10">
        <v>69.75</v>
      </c>
      <c r="M132" s="10">
        <v>147.4425</v>
      </c>
      <c r="N132" s="10">
        <v>153.24172000000002</v>
      </c>
      <c r="O132" s="10">
        <v>153.20022</v>
      </c>
      <c r="Q132" s="21">
        <v>1843.37</v>
      </c>
      <c r="R132" s="21">
        <v>2295.2800000000002</v>
      </c>
      <c r="S132" s="21">
        <v>2292.0500000000002</v>
      </c>
    </row>
    <row r="133" spans="1:19" x14ac:dyDescent="0.2">
      <c r="A133" s="9" t="s">
        <v>269</v>
      </c>
      <c r="B133" s="9" t="s">
        <v>270</v>
      </c>
      <c r="C133" s="9">
        <v>143</v>
      </c>
      <c r="D133" s="9">
        <v>0</v>
      </c>
      <c r="E133" s="9">
        <v>789</v>
      </c>
      <c r="F133" s="9">
        <f t="shared" si="1"/>
        <v>932</v>
      </c>
      <c r="H133" s="10">
        <v>103.45</v>
      </c>
      <c r="I133" s="10">
        <v>0</v>
      </c>
      <c r="J133" s="10">
        <v>95.78</v>
      </c>
      <c r="K133" s="10">
        <v>96.63</v>
      </c>
      <c r="M133" s="10">
        <v>156.94867000000002</v>
      </c>
      <c r="N133" s="10">
        <v>163.41684000000001</v>
      </c>
      <c r="O133" s="10">
        <v>162.66798</v>
      </c>
      <c r="Q133" s="21">
        <v>1598.31</v>
      </c>
      <c r="R133" s="21">
        <v>1780.71</v>
      </c>
      <c r="S133" s="21">
        <v>1759.59</v>
      </c>
    </row>
    <row r="134" spans="1:19" x14ac:dyDescent="0.2">
      <c r="A134" s="9" t="s">
        <v>271</v>
      </c>
      <c r="B134" s="9" t="s">
        <v>272</v>
      </c>
      <c r="C134" s="9">
        <v>260</v>
      </c>
      <c r="D134" s="9">
        <v>57</v>
      </c>
      <c r="E134" s="9">
        <v>1944</v>
      </c>
      <c r="F134" s="9">
        <f t="shared" ref="F134:F197" si="2">SUM(C134:E134)</f>
        <v>2261</v>
      </c>
      <c r="H134" s="10">
        <v>92.83</v>
      </c>
      <c r="I134" s="10">
        <v>69.41</v>
      </c>
      <c r="J134" s="10">
        <v>90.77</v>
      </c>
      <c r="K134" s="10">
        <v>90.49</v>
      </c>
      <c r="M134" s="10">
        <v>175.53219000000001</v>
      </c>
      <c r="N134" s="10">
        <v>166.39045000000002</v>
      </c>
      <c r="O134" s="10">
        <v>167.54307999999997</v>
      </c>
      <c r="Q134" s="21">
        <v>1940.57</v>
      </c>
      <c r="R134" s="21">
        <v>1859.36</v>
      </c>
      <c r="S134" s="21">
        <v>1869.6</v>
      </c>
    </row>
    <row r="135" spans="1:19" x14ac:dyDescent="0.2">
      <c r="A135" s="9" t="s">
        <v>273</v>
      </c>
      <c r="B135" s="9" t="s">
        <v>274</v>
      </c>
      <c r="C135" s="9">
        <v>4</v>
      </c>
      <c r="D135" s="9">
        <v>0</v>
      </c>
      <c r="E135" s="9">
        <v>34</v>
      </c>
      <c r="F135" s="9">
        <f t="shared" si="2"/>
        <v>38</v>
      </c>
      <c r="H135" s="10">
        <v>54</v>
      </c>
      <c r="I135" s="10">
        <v>0</v>
      </c>
      <c r="J135" s="10">
        <v>80.069999999999993</v>
      </c>
      <c r="K135" s="10">
        <v>77.63</v>
      </c>
      <c r="M135" s="10">
        <v>83.8</v>
      </c>
      <c r="N135" s="10">
        <v>75.771929999999998</v>
      </c>
      <c r="O135" s="10">
        <v>76.524559999999994</v>
      </c>
      <c r="Q135" s="21">
        <v>1558.44</v>
      </c>
      <c r="R135" s="21">
        <v>948.83</v>
      </c>
      <c r="S135" s="21">
        <v>1005.98</v>
      </c>
    </row>
    <row r="136" spans="1:19" x14ac:dyDescent="0.2">
      <c r="A136" s="9" t="s">
        <v>275</v>
      </c>
      <c r="B136" s="9" t="s">
        <v>276</v>
      </c>
      <c r="C136" s="9">
        <v>113</v>
      </c>
      <c r="D136" s="9">
        <v>13</v>
      </c>
      <c r="E136" s="9">
        <v>722</v>
      </c>
      <c r="F136" s="9">
        <f t="shared" si="2"/>
        <v>848</v>
      </c>
      <c r="H136" s="10">
        <v>75.09</v>
      </c>
      <c r="I136" s="10">
        <v>81.849999999999994</v>
      </c>
      <c r="J136" s="10">
        <v>63.13</v>
      </c>
      <c r="K136" s="10">
        <v>65.069999999999993</v>
      </c>
      <c r="M136" s="10">
        <v>130.18179000000001</v>
      </c>
      <c r="N136" s="10">
        <v>106.39280000000001</v>
      </c>
      <c r="O136" s="10">
        <v>109.68571</v>
      </c>
      <c r="Q136" s="21">
        <v>1753.26</v>
      </c>
      <c r="R136" s="21">
        <v>1717.5</v>
      </c>
      <c r="S136" s="21">
        <v>1722.45</v>
      </c>
    </row>
    <row r="137" spans="1:19" x14ac:dyDescent="0.2">
      <c r="A137" s="9" t="s">
        <v>277</v>
      </c>
      <c r="B137" s="9" t="s">
        <v>278</v>
      </c>
      <c r="C137" s="9">
        <v>34</v>
      </c>
      <c r="D137" s="9">
        <v>12</v>
      </c>
      <c r="E137" s="9">
        <v>281</v>
      </c>
      <c r="F137" s="9">
        <f t="shared" si="2"/>
        <v>327</v>
      </c>
      <c r="H137" s="10">
        <v>98.27</v>
      </c>
      <c r="I137" s="10">
        <v>86.25</v>
      </c>
      <c r="J137" s="10">
        <v>79.73</v>
      </c>
      <c r="K137" s="10">
        <v>82.02</v>
      </c>
      <c r="M137" s="10">
        <v>132.63526000000002</v>
      </c>
      <c r="N137" s="10">
        <v>80.998729999999995</v>
      </c>
      <c r="O137" s="10">
        <v>88.779579999999996</v>
      </c>
      <c r="Q137" s="21">
        <v>1399.81</v>
      </c>
      <c r="R137" s="21">
        <v>967.5</v>
      </c>
      <c r="S137" s="21">
        <v>1032.6400000000001</v>
      </c>
    </row>
    <row r="138" spans="1:19" x14ac:dyDescent="0.2">
      <c r="A138" s="9" t="s">
        <v>279</v>
      </c>
      <c r="B138" s="9" t="s">
        <v>280</v>
      </c>
      <c r="C138" s="9">
        <v>83</v>
      </c>
      <c r="D138" s="9">
        <v>0</v>
      </c>
      <c r="E138" s="9">
        <v>356</v>
      </c>
      <c r="F138" s="9">
        <f t="shared" si="2"/>
        <v>439</v>
      </c>
      <c r="H138" s="10">
        <v>87.51</v>
      </c>
      <c r="I138" s="10">
        <v>0</v>
      </c>
      <c r="J138" s="10">
        <v>71.319999999999993</v>
      </c>
      <c r="K138" s="10">
        <v>74.42</v>
      </c>
      <c r="M138" s="10">
        <v>225.85314000000002</v>
      </c>
      <c r="N138" s="10">
        <v>197.85681</v>
      </c>
      <c r="O138" s="10">
        <v>208.07348000000002</v>
      </c>
      <c r="Q138" s="21">
        <v>2576.06</v>
      </c>
      <c r="R138" s="21">
        <v>2480.08</v>
      </c>
      <c r="S138" s="21">
        <v>2515.11</v>
      </c>
    </row>
    <row r="139" spans="1:19" x14ac:dyDescent="0.2">
      <c r="A139" s="9" t="s">
        <v>281</v>
      </c>
      <c r="B139" s="9" t="s">
        <v>282</v>
      </c>
      <c r="C139" s="9">
        <v>54</v>
      </c>
      <c r="D139" s="9">
        <v>0</v>
      </c>
      <c r="E139" s="9">
        <v>243</v>
      </c>
      <c r="F139" s="9">
        <f t="shared" si="2"/>
        <v>297</v>
      </c>
      <c r="H139" s="10">
        <v>0</v>
      </c>
      <c r="I139" s="10">
        <v>0</v>
      </c>
      <c r="J139" s="10">
        <v>85.59</v>
      </c>
      <c r="K139" s="10">
        <v>85.59</v>
      </c>
      <c r="M139" s="10">
        <v>0</v>
      </c>
      <c r="N139" s="10">
        <v>159.38917000000001</v>
      </c>
      <c r="O139" s="10">
        <v>159.38917000000001</v>
      </c>
      <c r="Q139" s="21">
        <v>0</v>
      </c>
      <c r="R139" s="21">
        <v>1909.45</v>
      </c>
      <c r="S139" s="21">
        <v>1909.45</v>
      </c>
    </row>
    <row r="140" spans="1:19" x14ac:dyDescent="0.2">
      <c r="A140" s="9" t="s">
        <v>283</v>
      </c>
      <c r="B140" s="9" t="s">
        <v>284</v>
      </c>
      <c r="C140" s="9">
        <v>33</v>
      </c>
      <c r="D140" s="9">
        <v>0</v>
      </c>
      <c r="E140" s="9">
        <v>105</v>
      </c>
      <c r="F140" s="9">
        <f t="shared" si="2"/>
        <v>138</v>
      </c>
      <c r="H140" s="10">
        <v>153.97</v>
      </c>
      <c r="I140" s="10">
        <v>0</v>
      </c>
      <c r="J140" s="10">
        <v>125.33</v>
      </c>
      <c r="K140" s="10">
        <v>132.55000000000001</v>
      </c>
      <c r="M140" s="10">
        <v>164.88333</v>
      </c>
      <c r="N140" s="10">
        <v>261.00078999999999</v>
      </c>
      <c r="O140" s="10">
        <v>236.76949999999999</v>
      </c>
      <c r="Q140" s="21">
        <v>1353.07</v>
      </c>
      <c r="R140" s="21">
        <v>2169.86</v>
      </c>
      <c r="S140" s="21">
        <v>1963.95</v>
      </c>
    </row>
    <row r="141" spans="1:19" x14ac:dyDescent="0.2">
      <c r="A141" s="9" t="s">
        <v>285</v>
      </c>
      <c r="B141" s="9" t="s">
        <v>286</v>
      </c>
      <c r="C141" s="9">
        <v>3</v>
      </c>
      <c r="D141" s="9">
        <v>0</v>
      </c>
      <c r="E141" s="9">
        <v>66</v>
      </c>
      <c r="F141" s="9">
        <f t="shared" si="2"/>
        <v>69</v>
      </c>
      <c r="H141" s="10">
        <v>177.33</v>
      </c>
      <c r="I141" s="10">
        <v>0</v>
      </c>
      <c r="J141" s="10">
        <v>151.44999999999999</v>
      </c>
      <c r="K141" s="10">
        <v>152.63999999999999</v>
      </c>
      <c r="M141" s="10">
        <v>130</v>
      </c>
      <c r="N141" s="10">
        <v>204.82585999999998</v>
      </c>
      <c r="O141" s="10">
        <v>201.37235999999999</v>
      </c>
      <c r="Q141" s="21">
        <v>767.41</v>
      </c>
      <c r="R141" s="21">
        <v>1505.34</v>
      </c>
      <c r="S141" s="21">
        <v>1471.28</v>
      </c>
    </row>
    <row r="142" spans="1:19" x14ac:dyDescent="0.2">
      <c r="A142" s="9" t="s">
        <v>287</v>
      </c>
      <c r="B142" s="9" t="s">
        <v>288</v>
      </c>
      <c r="C142" s="9">
        <v>223</v>
      </c>
      <c r="D142" s="9">
        <v>2</v>
      </c>
      <c r="E142" s="9">
        <v>462</v>
      </c>
      <c r="F142" s="9">
        <f t="shared" si="2"/>
        <v>687</v>
      </c>
      <c r="H142" s="10">
        <v>79.11</v>
      </c>
      <c r="I142" s="10">
        <v>57</v>
      </c>
      <c r="J142" s="10">
        <v>77.349999999999994</v>
      </c>
      <c r="K142" s="10">
        <v>77.709999999999994</v>
      </c>
      <c r="M142" s="10">
        <v>213.70886999999999</v>
      </c>
      <c r="N142" s="10">
        <v>158.76038</v>
      </c>
      <c r="O142" s="10">
        <v>173.31938</v>
      </c>
      <c r="Q142" s="21">
        <v>2765.58</v>
      </c>
      <c r="R142" s="21">
        <v>2115.4899999999998</v>
      </c>
      <c r="S142" s="21">
        <v>2287.7399999999998</v>
      </c>
    </row>
    <row r="143" spans="1:19" x14ac:dyDescent="0.2">
      <c r="A143" s="9" t="s">
        <v>289</v>
      </c>
      <c r="B143" s="9" t="s">
        <v>290</v>
      </c>
      <c r="C143" s="9">
        <v>2</v>
      </c>
      <c r="D143" s="9">
        <v>0</v>
      </c>
      <c r="E143" s="9">
        <v>220</v>
      </c>
      <c r="F143" s="9">
        <f t="shared" si="2"/>
        <v>222</v>
      </c>
      <c r="H143" s="10">
        <v>68</v>
      </c>
      <c r="I143" s="10">
        <v>0</v>
      </c>
      <c r="J143" s="10">
        <v>79.849999999999994</v>
      </c>
      <c r="K143" s="10">
        <v>79.790000000000006</v>
      </c>
      <c r="M143" s="10">
        <v>0</v>
      </c>
      <c r="N143" s="10">
        <v>71.721820000000008</v>
      </c>
      <c r="O143" s="10">
        <v>71.718429999999998</v>
      </c>
      <c r="Q143" s="21">
        <v>0</v>
      </c>
      <c r="R143" s="21">
        <v>916.25</v>
      </c>
      <c r="S143" s="21">
        <v>916.85</v>
      </c>
    </row>
    <row r="144" spans="1:19" x14ac:dyDescent="0.2">
      <c r="A144" s="9" t="s">
        <v>291</v>
      </c>
      <c r="B144" s="9" t="s">
        <v>292</v>
      </c>
      <c r="C144" s="9">
        <v>25</v>
      </c>
      <c r="D144" s="9">
        <v>0</v>
      </c>
      <c r="E144" s="9">
        <v>148</v>
      </c>
      <c r="F144" s="9">
        <f t="shared" si="2"/>
        <v>173</v>
      </c>
      <c r="H144" s="10">
        <v>131.78</v>
      </c>
      <c r="I144" s="10">
        <v>0</v>
      </c>
      <c r="J144" s="10">
        <v>110.46</v>
      </c>
      <c r="K144" s="10">
        <v>113.58</v>
      </c>
      <c r="M144" s="10">
        <v>159.22514999999999</v>
      </c>
      <c r="N144" s="10">
        <v>129.59854999999999</v>
      </c>
      <c r="O144" s="10">
        <v>134.02329999999998</v>
      </c>
      <c r="Q144" s="21">
        <v>1451.82</v>
      </c>
      <c r="R144" s="21">
        <v>1276.47</v>
      </c>
      <c r="S144" s="21">
        <v>1302.6600000000001</v>
      </c>
    </row>
    <row r="145" spans="1:19" x14ac:dyDescent="0.2">
      <c r="A145" s="9" t="s">
        <v>293</v>
      </c>
      <c r="B145" s="9" t="s">
        <v>294</v>
      </c>
      <c r="C145" s="9">
        <v>389</v>
      </c>
      <c r="D145" s="9">
        <v>3</v>
      </c>
      <c r="E145" s="9">
        <v>743</v>
      </c>
      <c r="F145" s="9">
        <f t="shared" si="2"/>
        <v>1135</v>
      </c>
      <c r="H145" s="10">
        <v>126.04</v>
      </c>
      <c r="I145" s="10">
        <v>90</v>
      </c>
      <c r="J145" s="10">
        <v>115.63</v>
      </c>
      <c r="K145" s="10">
        <v>119.22</v>
      </c>
      <c r="M145" s="10">
        <v>410.24671000000001</v>
      </c>
      <c r="N145" s="10">
        <v>401.94842</v>
      </c>
      <c r="O145" s="10">
        <v>404.89440000000002</v>
      </c>
      <c r="Q145" s="21">
        <v>3410.5</v>
      </c>
      <c r="R145" s="21">
        <v>3704.28</v>
      </c>
      <c r="S145" s="21">
        <v>3599.98</v>
      </c>
    </row>
    <row r="146" spans="1:19" x14ac:dyDescent="0.2">
      <c r="A146" s="9" t="s">
        <v>295</v>
      </c>
      <c r="B146" s="9" t="s">
        <v>296</v>
      </c>
      <c r="C146" s="9">
        <v>1</v>
      </c>
      <c r="D146" s="9">
        <v>0</v>
      </c>
      <c r="E146" s="9">
        <v>82</v>
      </c>
      <c r="F146" s="9">
        <f t="shared" si="2"/>
        <v>83</v>
      </c>
      <c r="H146" s="10">
        <v>185</v>
      </c>
      <c r="I146" s="10">
        <v>0</v>
      </c>
      <c r="J146" s="10">
        <v>132.24</v>
      </c>
      <c r="K146" s="10">
        <v>132.91</v>
      </c>
      <c r="M146" s="10">
        <v>0</v>
      </c>
      <c r="N146" s="10">
        <v>185.86127999999999</v>
      </c>
      <c r="O146" s="10">
        <v>186.49945000000002</v>
      </c>
      <c r="Q146" s="21">
        <v>0</v>
      </c>
      <c r="R146" s="21">
        <v>1561.08</v>
      </c>
      <c r="S146" s="21">
        <v>1557.3</v>
      </c>
    </row>
    <row r="147" spans="1:19" x14ac:dyDescent="0.2">
      <c r="A147" s="9" t="s">
        <v>297</v>
      </c>
      <c r="B147" s="9" t="s">
        <v>298</v>
      </c>
      <c r="C147" s="9">
        <v>19</v>
      </c>
      <c r="D147" s="9">
        <v>0</v>
      </c>
      <c r="E147" s="9">
        <v>33</v>
      </c>
      <c r="F147" s="9">
        <f t="shared" si="2"/>
        <v>52</v>
      </c>
      <c r="H147" s="10">
        <v>93.79</v>
      </c>
      <c r="I147" s="10">
        <v>0</v>
      </c>
      <c r="J147" s="10">
        <v>125.18</v>
      </c>
      <c r="K147" s="10">
        <v>113.71</v>
      </c>
      <c r="M147" s="10">
        <v>89.648780000000002</v>
      </c>
      <c r="N147" s="10">
        <v>136.16714999999999</v>
      </c>
      <c r="O147" s="10">
        <v>119.42053999999999</v>
      </c>
      <c r="Q147" s="21">
        <v>1139.8599999999999</v>
      </c>
      <c r="R147" s="21">
        <v>1183.1099999999999</v>
      </c>
      <c r="S147" s="21">
        <v>1167.54</v>
      </c>
    </row>
    <row r="148" spans="1:19" x14ac:dyDescent="0.2">
      <c r="A148" s="9" t="s">
        <v>299</v>
      </c>
      <c r="B148" s="9" t="s">
        <v>300</v>
      </c>
      <c r="C148" s="9">
        <v>1</v>
      </c>
      <c r="D148" s="9">
        <v>0</v>
      </c>
      <c r="E148" s="9">
        <v>381</v>
      </c>
      <c r="F148" s="9">
        <f t="shared" si="2"/>
        <v>382</v>
      </c>
      <c r="H148" s="10">
        <v>80</v>
      </c>
      <c r="I148" s="10">
        <v>0</v>
      </c>
      <c r="J148" s="10">
        <v>98.28</v>
      </c>
      <c r="K148" s="10">
        <v>98.23</v>
      </c>
      <c r="M148" s="10">
        <v>0</v>
      </c>
      <c r="N148" s="10">
        <v>181.94547</v>
      </c>
      <c r="O148" s="10">
        <v>183.44148999999999</v>
      </c>
      <c r="Q148" s="21">
        <v>0</v>
      </c>
      <c r="R148" s="21">
        <v>1870.18</v>
      </c>
      <c r="S148" s="21">
        <v>1889.99</v>
      </c>
    </row>
    <row r="149" spans="1:19" x14ac:dyDescent="0.2">
      <c r="A149" s="9" t="s">
        <v>301</v>
      </c>
      <c r="B149" s="9" t="s">
        <v>302</v>
      </c>
      <c r="C149" s="9">
        <v>170</v>
      </c>
      <c r="D149" s="9">
        <v>3</v>
      </c>
      <c r="E149" s="9">
        <v>284</v>
      </c>
      <c r="F149" s="9">
        <f t="shared" si="2"/>
        <v>457</v>
      </c>
      <c r="H149" s="10">
        <v>100.54</v>
      </c>
      <c r="I149" s="10">
        <v>72.67</v>
      </c>
      <c r="J149" s="10">
        <v>82.97</v>
      </c>
      <c r="K149" s="10">
        <v>89.62</v>
      </c>
      <c r="M149" s="10">
        <v>270.83974999999998</v>
      </c>
      <c r="N149" s="10">
        <v>209.22677999999999</v>
      </c>
      <c r="O149" s="10">
        <v>233.96302</v>
      </c>
      <c r="Q149" s="21">
        <v>2703.17</v>
      </c>
      <c r="R149" s="21">
        <v>2542.6</v>
      </c>
      <c r="S149" s="21">
        <v>2607.0700000000002</v>
      </c>
    </row>
    <row r="150" spans="1:19" x14ac:dyDescent="0.2">
      <c r="A150" s="9" t="s">
        <v>303</v>
      </c>
      <c r="B150" s="9" t="s">
        <v>304</v>
      </c>
      <c r="C150" s="9">
        <v>15</v>
      </c>
      <c r="D150" s="9">
        <v>0</v>
      </c>
      <c r="E150" s="9">
        <v>66</v>
      </c>
      <c r="F150" s="9">
        <f t="shared" si="2"/>
        <v>81</v>
      </c>
      <c r="H150" s="10">
        <v>169.2</v>
      </c>
      <c r="I150" s="10">
        <v>0</v>
      </c>
      <c r="J150" s="10">
        <v>203.05</v>
      </c>
      <c r="K150" s="10">
        <v>196.09</v>
      </c>
      <c r="M150" s="10">
        <v>229.6</v>
      </c>
      <c r="N150" s="10">
        <v>263.58706999999998</v>
      </c>
      <c r="O150" s="10">
        <v>256.60343</v>
      </c>
      <c r="Q150" s="21">
        <v>1555.43</v>
      </c>
      <c r="R150" s="21">
        <v>1495.13</v>
      </c>
      <c r="S150" s="21">
        <v>1507.52</v>
      </c>
    </row>
    <row r="151" spans="1:19" x14ac:dyDescent="0.2">
      <c r="A151" s="9" t="s">
        <v>305</v>
      </c>
      <c r="B151" s="9" t="s">
        <v>306</v>
      </c>
      <c r="C151" s="9">
        <v>31</v>
      </c>
      <c r="D151" s="9">
        <v>7</v>
      </c>
      <c r="E151" s="9">
        <v>43</v>
      </c>
      <c r="F151" s="9">
        <f t="shared" si="2"/>
        <v>81</v>
      </c>
      <c r="H151" s="10">
        <v>95.14</v>
      </c>
      <c r="I151" s="10">
        <v>86</v>
      </c>
      <c r="J151" s="10">
        <v>126.43</v>
      </c>
      <c r="K151" s="10">
        <v>110</v>
      </c>
      <c r="M151" s="10">
        <v>141.93326999999999</v>
      </c>
      <c r="N151" s="10">
        <v>190.24894</v>
      </c>
      <c r="O151" s="10">
        <v>168.77530999999999</v>
      </c>
      <c r="Q151" s="21">
        <v>1419.3</v>
      </c>
      <c r="R151" s="21">
        <v>1525.53</v>
      </c>
      <c r="S151" s="21">
        <v>1478.32</v>
      </c>
    </row>
    <row r="152" spans="1:19" x14ac:dyDescent="0.2">
      <c r="A152" s="9" t="s">
        <v>307</v>
      </c>
      <c r="B152" s="9" t="s">
        <v>308</v>
      </c>
      <c r="C152" s="9">
        <v>6</v>
      </c>
      <c r="D152" s="9">
        <v>0</v>
      </c>
      <c r="E152" s="9">
        <v>33</v>
      </c>
      <c r="F152" s="9">
        <f t="shared" si="2"/>
        <v>39</v>
      </c>
      <c r="H152" s="10">
        <v>105.25</v>
      </c>
      <c r="I152" s="10">
        <v>0</v>
      </c>
      <c r="J152" s="10">
        <v>119.22</v>
      </c>
      <c r="K152" s="10">
        <v>117.15</v>
      </c>
      <c r="M152" s="10">
        <v>82.242500000000007</v>
      </c>
      <c r="N152" s="10">
        <v>96.876020000000011</v>
      </c>
      <c r="O152" s="10">
        <v>94.708089999999999</v>
      </c>
      <c r="Q152" s="21">
        <v>792.47</v>
      </c>
      <c r="R152" s="21">
        <v>808.97</v>
      </c>
      <c r="S152" s="21">
        <v>806.53</v>
      </c>
    </row>
    <row r="153" spans="1:19" x14ac:dyDescent="0.2">
      <c r="A153" s="9" t="s">
        <v>309</v>
      </c>
      <c r="B153" s="9" t="s">
        <v>310</v>
      </c>
      <c r="C153" s="9">
        <v>15</v>
      </c>
      <c r="D153" s="9">
        <v>0</v>
      </c>
      <c r="E153" s="9">
        <v>65</v>
      </c>
      <c r="F153" s="9">
        <f t="shared" si="2"/>
        <v>80</v>
      </c>
      <c r="H153" s="10">
        <v>74.14</v>
      </c>
      <c r="I153" s="10">
        <v>0</v>
      </c>
      <c r="J153" s="10">
        <v>89.66</v>
      </c>
      <c r="K153" s="10">
        <v>86.64</v>
      </c>
      <c r="M153" s="10">
        <v>87.45</v>
      </c>
      <c r="N153" s="10">
        <v>88.537689999999998</v>
      </c>
      <c r="O153" s="10">
        <v>88.326189999999997</v>
      </c>
      <c r="Q153" s="21">
        <v>1267.99</v>
      </c>
      <c r="R153" s="21">
        <v>1124.8499999999999</v>
      </c>
      <c r="S153" s="21">
        <v>1152.68</v>
      </c>
    </row>
    <row r="154" spans="1:19" x14ac:dyDescent="0.2">
      <c r="A154" s="9" t="s">
        <v>311</v>
      </c>
      <c r="B154" s="9" t="s">
        <v>312</v>
      </c>
      <c r="C154" s="9">
        <v>92</v>
      </c>
      <c r="D154" s="9">
        <v>5</v>
      </c>
      <c r="E154" s="9">
        <v>192</v>
      </c>
      <c r="F154" s="9">
        <f t="shared" si="2"/>
        <v>289</v>
      </c>
      <c r="H154" s="10">
        <v>79.72</v>
      </c>
      <c r="I154" s="10">
        <v>74.8</v>
      </c>
      <c r="J154" s="10">
        <v>73.94</v>
      </c>
      <c r="K154" s="10">
        <v>75.900000000000006</v>
      </c>
      <c r="M154" s="10">
        <v>241.18615</v>
      </c>
      <c r="N154" s="10">
        <v>212.91609</v>
      </c>
      <c r="O154" s="10">
        <v>222.86089000000001</v>
      </c>
      <c r="Q154" s="21">
        <v>3041.23</v>
      </c>
      <c r="R154" s="21">
        <v>2877.66</v>
      </c>
      <c r="S154" s="21">
        <v>2935.2</v>
      </c>
    </row>
    <row r="155" spans="1:19" x14ac:dyDescent="0.2">
      <c r="A155" s="9" t="s">
        <v>313</v>
      </c>
      <c r="B155" s="9" t="s">
        <v>314</v>
      </c>
      <c r="C155" s="9">
        <v>123</v>
      </c>
      <c r="D155" s="9">
        <v>1</v>
      </c>
      <c r="E155" s="9">
        <v>106</v>
      </c>
      <c r="F155" s="9">
        <f t="shared" si="2"/>
        <v>230</v>
      </c>
      <c r="H155" s="10">
        <v>105.34</v>
      </c>
      <c r="I155" s="10">
        <v>0</v>
      </c>
      <c r="J155" s="10">
        <v>116.61</v>
      </c>
      <c r="K155" s="10">
        <v>110.62</v>
      </c>
      <c r="M155" s="10">
        <v>233.78744</v>
      </c>
      <c r="N155" s="10">
        <v>426.11376000000001</v>
      </c>
      <c r="O155" s="10">
        <v>315.20165000000003</v>
      </c>
      <c r="Q155" s="21">
        <v>2225.9499999999998</v>
      </c>
      <c r="R155" s="21">
        <v>3623.2</v>
      </c>
      <c r="S155" s="21">
        <v>2817.42</v>
      </c>
    </row>
    <row r="156" spans="1:19" x14ac:dyDescent="0.2">
      <c r="A156" s="9" t="s">
        <v>315</v>
      </c>
      <c r="B156" s="9" t="s">
        <v>316</v>
      </c>
      <c r="C156" s="9">
        <v>14</v>
      </c>
      <c r="D156" s="9">
        <v>1</v>
      </c>
      <c r="E156" s="9">
        <v>351</v>
      </c>
      <c r="F156" s="9">
        <f t="shared" si="2"/>
        <v>366</v>
      </c>
      <c r="H156" s="10">
        <v>110.5</v>
      </c>
      <c r="I156" s="10">
        <v>90</v>
      </c>
      <c r="J156" s="10">
        <v>108.59</v>
      </c>
      <c r="K156" s="10">
        <v>108.6</v>
      </c>
      <c r="M156" s="10">
        <v>179.2415</v>
      </c>
      <c r="N156" s="10">
        <v>236.27470000000002</v>
      </c>
      <c r="O156" s="10">
        <v>234.11570999999998</v>
      </c>
      <c r="Q156" s="21">
        <v>1660.46</v>
      </c>
      <c r="R156" s="21">
        <v>2251.0500000000002</v>
      </c>
      <c r="S156" s="21">
        <v>2228.69</v>
      </c>
    </row>
    <row r="157" spans="1:19" x14ac:dyDescent="0.2">
      <c r="A157" s="9" t="s">
        <v>317</v>
      </c>
      <c r="B157" s="9" t="s">
        <v>318</v>
      </c>
      <c r="C157" s="9">
        <v>25</v>
      </c>
      <c r="D157" s="9">
        <v>0</v>
      </c>
      <c r="E157" s="9">
        <v>75</v>
      </c>
      <c r="F157" s="9">
        <f t="shared" si="2"/>
        <v>100</v>
      </c>
      <c r="H157" s="10">
        <v>97.04</v>
      </c>
      <c r="I157" s="10">
        <v>0</v>
      </c>
      <c r="J157" s="10">
        <v>111.9</v>
      </c>
      <c r="K157" s="10">
        <v>108.11</v>
      </c>
      <c r="M157" s="10">
        <v>291.57440000000003</v>
      </c>
      <c r="N157" s="10">
        <v>243.48292999999998</v>
      </c>
      <c r="O157" s="10">
        <v>255.87764000000001</v>
      </c>
      <c r="Q157" s="21">
        <v>3156.27</v>
      </c>
      <c r="R157" s="21">
        <v>2326.37</v>
      </c>
      <c r="S157" s="21">
        <v>2540.2600000000002</v>
      </c>
    </row>
    <row r="158" spans="1:19" x14ac:dyDescent="0.2">
      <c r="A158" s="9" t="s">
        <v>319</v>
      </c>
      <c r="B158" s="9" t="s">
        <v>320</v>
      </c>
      <c r="C158" s="9">
        <v>9</v>
      </c>
      <c r="D158" s="9">
        <v>0</v>
      </c>
      <c r="E158" s="9">
        <v>181</v>
      </c>
      <c r="F158" s="9">
        <f t="shared" si="2"/>
        <v>190</v>
      </c>
      <c r="H158" s="10">
        <v>73.88</v>
      </c>
      <c r="I158" s="10">
        <v>0</v>
      </c>
      <c r="J158" s="10">
        <v>137.77000000000001</v>
      </c>
      <c r="K158" s="10">
        <v>134.83000000000001</v>
      </c>
      <c r="M158" s="10">
        <v>156.34634</v>
      </c>
      <c r="N158" s="10">
        <v>302.53289000000001</v>
      </c>
      <c r="O158" s="10">
        <v>295.77282000000002</v>
      </c>
      <c r="Q158" s="21">
        <v>2009.44</v>
      </c>
      <c r="R158" s="21">
        <v>2375.65</v>
      </c>
      <c r="S158" s="21">
        <v>2358.7199999999998</v>
      </c>
    </row>
    <row r="159" spans="1:19" x14ac:dyDescent="0.2">
      <c r="A159" s="9" t="s">
        <v>321</v>
      </c>
      <c r="B159" s="9" t="s">
        <v>322</v>
      </c>
      <c r="C159" s="9">
        <v>15</v>
      </c>
      <c r="D159" s="9">
        <v>2</v>
      </c>
      <c r="E159" s="9">
        <v>56</v>
      </c>
      <c r="F159" s="9">
        <f t="shared" si="2"/>
        <v>73</v>
      </c>
      <c r="H159" s="10">
        <v>87.36</v>
      </c>
      <c r="I159" s="10">
        <v>85.5</v>
      </c>
      <c r="J159" s="10">
        <v>85.89</v>
      </c>
      <c r="K159" s="10">
        <v>86.12</v>
      </c>
      <c r="M159" s="10">
        <v>101.18652</v>
      </c>
      <c r="N159" s="10">
        <v>125.12702</v>
      </c>
      <c r="O159" s="10">
        <v>120.66354</v>
      </c>
      <c r="Q159" s="21">
        <v>1199.46</v>
      </c>
      <c r="R159" s="21">
        <v>1490</v>
      </c>
      <c r="S159" s="21">
        <v>1435.83</v>
      </c>
    </row>
    <row r="160" spans="1:19" x14ac:dyDescent="0.2">
      <c r="A160" s="9" t="s">
        <v>323</v>
      </c>
      <c r="B160" s="9" t="s">
        <v>324</v>
      </c>
      <c r="C160" s="9">
        <v>24</v>
      </c>
      <c r="D160" s="9">
        <v>1</v>
      </c>
      <c r="E160" s="9">
        <v>96</v>
      </c>
      <c r="F160" s="9">
        <f t="shared" si="2"/>
        <v>121</v>
      </c>
      <c r="H160" s="10">
        <v>85.57</v>
      </c>
      <c r="I160" s="10">
        <v>92</v>
      </c>
      <c r="J160" s="10">
        <v>84.15</v>
      </c>
      <c r="K160" s="10">
        <v>84.48</v>
      </c>
      <c r="M160" s="10">
        <v>84.330289999999991</v>
      </c>
      <c r="N160" s="10">
        <v>101.9293</v>
      </c>
      <c r="O160" s="10">
        <v>98.658690000000007</v>
      </c>
      <c r="Q160" s="21">
        <v>1018.26</v>
      </c>
      <c r="R160" s="21">
        <v>1217.6400000000001</v>
      </c>
      <c r="S160" s="21">
        <v>1180.5899999999999</v>
      </c>
    </row>
    <row r="161" spans="1:19" x14ac:dyDescent="0.2">
      <c r="A161" s="9" t="s">
        <v>325</v>
      </c>
      <c r="B161" s="9" t="s">
        <v>326</v>
      </c>
      <c r="C161" s="9">
        <v>18</v>
      </c>
      <c r="D161" s="9">
        <v>0</v>
      </c>
      <c r="E161" s="9">
        <v>85</v>
      </c>
      <c r="F161" s="9">
        <f t="shared" si="2"/>
        <v>103</v>
      </c>
      <c r="H161" s="10">
        <v>159.5</v>
      </c>
      <c r="I161" s="10">
        <v>0</v>
      </c>
      <c r="J161" s="10">
        <v>154.85</v>
      </c>
      <c r="K161" s="10">
        <v>155.61000000000001</v>
      </c>
      <c r="M161" s="10">
        <v>262.94036</v>
      </c>
      <c r="N161" s="10">
        <v>352.76549999999997</v>
      </c>
      <c r="O161" s="10">
        <v>338.14279999999997</v>
      </c>
      <c r="Q161" s="21">
        <v>2024.68</v>
      </c>
      <c r="R161" s="21">
        <v>2654.3</v>
      </c>
      <c r="S161" s="21">
        <v>2551.8000000000002</v>
      </c>
    </row>
    <row r="162" spans="1:19" x14ac:dyDescent="0.2">
      <c r="A162" s="9" t="s">
        <v>327</v>
      </c>
      <c r="B162" s="9" t="s">
        <v>328</v>
      </c>
      <c r="C162" s="9">
        <v>48</v>
      </c>
      <c r="D162" s="9">
        <v>2</v>
      </c>
      <c r="E162" s="9">
        <v>205</v>
      </c>
      <c r="F162" s="9">
        <f t="shared" si="2"/>
        <v>255</v>
      </c>
      <c r="H162" s="10">
        <v>112.74</v>
      </c>
      <c r="I162" s="10">
        <v>89.5</v>
      </c>
      <c r="J162" s="10">
        <v>110.25</v>
      </c>
      <c r="K162" s="10">
        <v>110.51</v>
      </c>
      <c r="M162" s="10">
        <v>169.94292999999999</v>
      </c>
      <c r="N162" s="10">
        <v>181.63316</v>
      </c>
      <c r="O162" s="10">
        <v>179.34210999999999</v>
      </c>
      <c r="Q162" s="21">
        <v>1808.3</v>
      </c>
      <c r="R162" s="21">
        <v>1839.55</v>
      </c>
      <c r="S162" s="21">
        <v>1833.43</v>
      </c>
    </row>
    <row r="163" spans="1:19" x14ac:dyDescent="0.2">
      <c r="A163" s="9" t="s">
        <v>329</v>
      </c>
      <c r="B163" s="9" t="s">
        <v>330</v>
      </c>
      <c r="C163" s="9">
        <v>4</v>
      </c>
      <c r="D163" s="9">
        <v>0</v>
      </c>
      <c r="E163" s="9">
        <v>53</v>
      </c>
      <c r="F163" s="9">
        <f t="shared" si="2"/>
        <v>57</v>
      </c>
      <c r="H163" s="10">
        <v>56</v>
      </c>
      <c r="I163" s="10">
        <v>0</v>
      </c>
      <c r="J163" s="10">
        <v>98.28</v>
      </c>
      <c r="K163" s="10">
        <v>94.35</v>
      </c>
      <c r="M163" s="10">
        <v>115.75</v>
      </c>
      <c r="N163" s="10">
        <v>199.31119000000001</v>
      </c>
      <c r="O163" s="10">
        <v>189.76133999999999</v>
      </c>
      <c r="Q163" s="21">
        <v>2069.27</v>
      </c>
      <c r="R163" s="21">
        <v>2040.1</v>
      </c>
      <c r="S163" s="21">
        <v>2043.43</v>
      </c>
    </row>
    <row r="164" spans="1:19" x14ac:dyDescent="0.2">
      <c r="A164" s="9" t="s">
        <v>331</v>
      </c>
      <c r="B164" s="9" t="s">
        <v>332</v>
      </c>
      <c r="C164" s="9">
        <v>23</v>
      </c>
      <c r="D164" s="9">
        <v>0</v>
      </c>
      <c r="E164" s="9">
        <v>108</v>
      </c>
      <c r="F164" s="9">
        <f t="shared" si="2"/>
        <v>131</v>
      </c>
      <c r="H164" s="10">
        <v>87.18</v>
      </c>
      <c r="I164" s="10">
        <v>0</v>
      </c>
      <c r="J164" s="10">
        <v>95.81</v>
      </c>
      <c r="K164" s="10">
        <v>94.19</v>
      </c>
      <c r="M164" s="10">
        <v>73.750550000000004</v>
      </c>
      <c r="N164" s="10">
        <v>96.659789999999987</v>
      </c>
      <c r="O164" s="10">
        <v>92.277149999999992</v>
      </c>
      <c r="Q164" s="21">
        <v>835.96</v>
      </c>
      <c r="R164" s="21">
        <v>1063.18</v>
      </c>
      <c r="S164" s="21">
        <v>1019.71</v>
      </c>
    </row>
    <row r="165" spans="1:19" x14ac:dyDescent="0.2">
      <c r="A165" s="9" t="s">
        <v>333</v>
      </c>
      <c r="B165" s="9" t="s">
        <v>334</v>
      </c>
      <c r="C165" s="9">
        <v>18</v>
      </c>
      <c r="D165" s="9">
        <v>0</v>
      </c>
      <c r="E165" s="9">
        <v>1039</v>
      </c>
      <c r="F165" s="9">
        <f t="shared" si="2"/>
        <v>1057</v>
      </c>
      <c r="H165" s="10">
        <v>69.61</v>
      </c>
      <c r="I165" s="10">
        <v>0</v>
      </c>
      <c r="J165" s="10">
        <v>63.53</v>
      </c>
      <c r="K165" s="10">
        <v>63.65</v>
      </c>
      <c r="M165" s="10">
        <v>178.62626999999998</v>
      </c>
      <c r="N165" s="10">
        <v>121.24222</v>
      </c>
      <c r="O165" s="10">
        <v>122.51585</v>
      </c>
      <c r="Q165" s="21">
        <v>2741.78</v>
      </c>
      <c r="R165" s="21">
        <v>1928.7</v>
      </c>
      <c r="S165" s="21">
        <v>1946.75</v>
      </c>
    </row>
    <row r="166" spans="1:19" x14ac:dyDescent="0.2">
      <c r="A166" s="9" t="s">
        <v>335</v>
      </c>
      <c r="B166" s="9" t="s">
        <v>336</v>
      </c>
      <c r="C166" s="9">
        <v>1</v>
      </c>
      <c r="D166" s="9">
        <v>0</v>
      </c>
      <c r="E166" s="9">
        <v>98</v>
      </c>
      <c r="F166" s="9">
        <f t="shared" si="2"/>
        <v>99</v>
      </c>
      <c r="H166" s="10">
        <v>0</v>
      </c>
      <c r="I166" s="10">
        <v>0</v>
      </c>
      <c r="J166" s="10">
        <v>162.79</v>
      </c>
      <c r="K166" s="10">
        <v>162.79</v>
      </c>
      <c r="M166" s="10">
        <v>0</v>
      </c>
      <c r="N166" s="10">
        <v>258.52902999999998</v>
      </c>
      <c r="O166" s="10">
        <v>258.52902999999998</v>
      </c>
      <c r="Q166" s="21">
        <v>0</v>
      </c>
      <c r="R166" s="21">
        <v>1603.12</v>
      </c>
      <c r="S166" s="21">
        <v>1603.12</v>
      </c>
    </row>
    <row r="167" spans="1:19" x14ac:dyDescent="0.2">
      <c r="A167" s="9" t="s">
        <v>337</v>
      </c>
      <c r="B167" s="9" t="s">
        <v>338</v>
      </c>
      <c r="C167" s="9">
        <v>13</v>
      </c>
      <c r="D167" s="9">
        <v>0</v>
      </c>
      <c r="E167" s="9">
        <v>65</v>
      </c>
      <c r="F167" s="9">
        <f t="shared" si="2"/>
        <v>78</v>
      </c>
      <c r="H167" s="10">
        <v>152.58000000000001</v>
      </c>
      <c r="I167" s="10">
        <v>0</v>
      </c>
      <c r="J167" s="10">
        <v>142.75</v>
      </c>
      <c r="K167" s="10">
        <v>144.30000000000001</v>
      </c>
      <c r="M167" s="10">
        <v>189.95842000000002</v>
      </c>
      <c r="N167" s="10">
        <v>189.45097000000001</v>
      </c>
      <c r="O167" s="10">
        <v>189.53109000000001</v>
      </c>
      <c r="Q167" s="21">
        <v>1535.18</v>
      </c>
      <c r="R167" s="21">
        <v>1503.61</v>
      </c>
      <c r="S167" s="21">
        <v>1508.59</v>
      </c>
    </row>
    <row r="168" spans="1:19" x14ac:dyDescent="0.2">
      <c r="A168" s="9" t="s">
        <v>339</v>
      </c>
      <c r="B168" s="9" t="s">
        <v>340</v>
      </c>
      <c r="C168" s="9">
        <v>16</v>
      </c>
      <c r="D168" s="9">
        <v>4</v>
      </c>
      <c r="E168" s="9">
        <v>93</v>
      </c>
      <c r="F168" s="9">
        <f t="shared" si="2"/>
        <v>113</v>
      </c>
      <c r="H168" s="10">
        <v>102.86</v>
      </c>
      <c r="I168" s="10">
        <v>72</v>
      </c>
      <c r="J168" s="10">
        <v>83.75</v>
      </c>
      <c r="K168" s="10">
        <v>85.93</v>
      </c>
      <c r="M168" s="10">
        <v>65.071430000000007</v>
      </c>
      <c r="N168" s="10">
        <v>64.714250000000007</v>
      </c>
      <c r="O168" s="10">
        <v>64.771069999999995</v>
      </c>
      <c r="Q168" s="21">
        <v>673.12</v>
      </c>
      <c r="R168" s="21">
        <v>759.56</v>
      </c>
      <c r="S168" s="21">
        <v>745.81</v>
      </c>
    </row>
    <row r="169" spans="1:19" x14ac:dyDescent="0.2">
      <c r="A169" s="9" t="s">
        <v>341</v>
      </c>
      <c r="B169" s="9" t="s">
        <v>342</v>
      </c>
      <c r="C169" s="9">
        <v>7</v>
      </c>
      <c r="D169" s="9">
        <v>1</v>
      </c>
      <c r="E169" s="9">
        <v>50</v>
      </c>
      <c r="F169" s="9">
        <f t="shared" si="2"/>
        <v>58</v>
      </c>
      <c r="H169" s="10">
        <v>128.66999999999999</v>
      </c>
      <c r="I169" s="10">
        <v>116</v>
      </c>
      <c r="J169" s="10">
        <v>101.33</v>
      </c>
      <c r="K169" s="10">
        <v>104.52</v>
      </c>
      <c r="M169" s="10">
        <v>108.66667</v>
      </c>
      <c r="N169" s="10">
        <v>91.300210000000007</v>
      </c>
      <c r="O169" s="10">
        <v>93.266220000000004</v>
      </c>
      <c r="Q169" s="21">
        <v>827.65</v>
      </c>
      <c r="R169" s="21">
        <v>974.32</v>
      </c>
      <c r="S169" s="21">
        <v>957.72</v>
      </c>
    </row>
    <row r="170" spans="1:19" x14ac:dyDescent="0.2">
      <c r="A170" s="9" t="s">
        <v>343</v>
      </c>
      <c r="B170" s="9" t="s">
        <v>344</v>
      </c>
      <c r="C170" s="9">
        <v>6</v>
      </c>
      <c r="D170" s="9">
        <v>0</v>
      </c>
      <c r="E170" s="9">
        <v>84</v>
      </c>
      <c r="F170" s="9">
        <f t="shared" si="2"/>
        <v>90</v>
      </c>
      <c r="H170" s="10">
        <v>125.17</v>
      </c>
      <c r="I170" s="10">
        <v>0</v>
      </c>
      <c r="J170" s="10">
        <v>146.54</v>
      </c>
      <c r="K170" s="10">
        <v>144.97999999999999</v>
      </c>
      <c r="M170" s="10">
        <v>106.0805</v>
      </c>
      <c r="N170" s="10">
        <v>166.28414999999998</v>
      </c>
      <c r="O170" s="10">
        <v>161.76888</v>
      </c>
      <c r="Q170" s="21">
        <v>922.16</v>
      </c>
      <c r="R170" s="21">
        <v>1245.1300000000001</v>
      </c>
      <c r="S170" s="21">
        <v>1220.9100000000001</v>
      </c>
    </row>
    <row r="171" spans="1:19" x14ac:dyDescent="0.2">
      <c r="A171" s="9" t="s">
        <v>345</v>
      </c>
      <c r="B171" s="9" t="s">
        <v>346</v>
      </c>
      <c r="C171" s="9">
        <v>63</v>
      </c>
      <c r="D171" s="9">
        <v>3</v>
      </c>
      <c r="E171" s="9">
        <v>140</v>
      </c>
      <c r="F171" s="9">
        <f t="shared" si="2"/>
        <v>206</v>
      </c>
      <c r="H171" s="10">
        <v>86.73</v>
      </c>
      <c r="I171" s="10">
        <v>90</v>
      </c>
      <c r="J171" s="10">
        <v>96.11</v>
      </c>
      <c r="K171" s="10">
        <v>93.67</v>
      </c>
      <c r="M171" s="10">
        <v>155.57726</v>
      </c>
      <c r="N171" s="10">
        <v>159.31244000000001</v>
      </c>
      <c r="O171" s="10">
        <v>158.33919</v>
      </c>
      <c r="Q171" s="21">
        <v>1764.89</v>
      </c>
      <c r="R171" s="21">
        <v>1641.01</v>
      </c>
      <c r="S171" s="21">
        <v>1673.29</v>
      </c>
    </row>
    <row r="172" spans="1:19" x14ac:dyDescent="0.2">
      <c r="A172" s="9" t="s">
        <v>347</v>
      </c>
      <c r="B172" s="9" t="s">
        <v>348</v>
      </c>
      <c r="C172" s="9">
        <v>19</v>
      </c>
      <c r="D172" s="9">
        <v>0</v>
      </c>
      <c r="E172" s="9">
        <v>48</v>
      </c>
      <c r="F172" s="9">
        <f t="shared" si="2"/>
        <v>67</v>
      </c>
      <c r="H172" s="10">
        <v>138.43</v>
      </c>
      <c r="I172" s="10">
        <v>0</v>
      </c>
      <c r="J172" s="10">
        <v>104.85</v>
      </c>
      <c r="K172" s="10">
        <v>112.69</v>
      </c>
      <c r="M172" s="10">
        <v>165.20506</v>
      </c>
      <c r="N172" s="10">
        <v>113.75360999999999</v>
      </c>
      <c r="O172" s="10">
        <v>125.75895</v>
      </c>
      <c r="Q172" s="21">
        <v>1399.1</v>
      </c>
      <c r="R172" s="21">
        <v>1228.7</v>
      </c>
      <c r="S172" s="21">
        <v>1268.46</v>
      </c>
    </row>
    <row r="173" spans="1:19" x14ac:dyDescent="0.2">
      <c r="A173" s="9" t="s">
        <v>349</v>
      </c>
      <c r="B173" s="9" t="s">
        <v>350</v>
      </c>
      <c r="C173" s="9">
        <v>12</v>
      </c>
      <c r="D173" s="9">
        <v>1</v>
      </c>
      <c r="E173" s="9">
        <v>45</v>
      </c>
      <c r="F173" s="9">
        <f t="shared" si="2"/>
        <v>58</v>
      </c>
      <c r="H173" s="10">
        <v>72.08</v>
      </c>
      <c r="I173" s="10">
        <v>83</v>
      </c>
      <c r="J173" s="10">
        <v>99.57</v>
      </c>
      <c r="K173" s="10">
        <v>93.27</v>
      </c>
      <c r="M173" s="10">
        <v>127.25</v>
      </c>
      <c r="N173" s="10">
        <v>158.14527999999999</v>
      </c>
      <c r="O173" s="10">
        <v>150.73041000000001</v>
      </c>
      <c r="Q173" s="21">
        <v>1795.36</v>
      </c>
      <c r="R173" s="21">
        <v>1588.16</v>
      </c>
      <c r="S173" s="21">
        <v>1637.89</v>
      </c>
    </row>
    <row r="174" spans="1:19" x14ac:dyDescent="0.2">
      <c r="A174" s="9" t="s">
        <v>351</v>
      </c>
      <c r="B174" s="9" t="s">
        <v>352</v>
      </c>
      <c r="C174" s="9">
        <v>0</v>
      </c>
      <c r="D174" s="9">
        <v>0</v>
      </c>
      <c r="E174" s="9">
        <v>30</v>
      </c>
      <c r="F174" s="9">
        <f t="shared" si="2"/>
        <v>30</v>
      </c>
      <c r="H174" s="10">
        <v>0</v>
      </c>
      <c r="I174" s="10">
        <v>0</v>
      </c>
      <c r="J174" s="10">
        <v>103.72</v>
      </c>
      <c r="K174" s="10">
        <v>103.72</v>
      </c>
      <c r="M174" s="10">
        <v>0</v>
      </c>
      <c r="N174" s="10">
        <v>137.84289999999999</v>
      </c>
      <c r="O174" s="10">
        <v>137.84289999999999</v>
      </c>
      <c r="Q174" s="21">
        <v>0</v>
      </c>
      <c r="R174" s="21">
        <v>1239.99</v>
      </c>
      <c r="S174" s="21">
        <v>1239.99</v>
      </c>
    </row>
    <row r="175" spans="1:19" x14ac:dyDescent="0.2">
      <c r="A175" s="9" t="s">
        <v>353</v>
      </c>
      <c r="B175" s="9" t="s">
        <v>354</v>
      </c>
      <c r="C175" s="9">
        <v>8</v>
      </c>
      <c r="D175" s="9">
        <v>0</v>
      </c>
      <c r="E175" s="9">
        <v>28</v>
      </c>
      <c r="F175" s="9">
        <f t="shared" si="2"/>
        <v>36</v>
      </c>
      <c r="H175" s="10">
        <v>119.25</v>
      </c>
      <c r="I175" s="10">
        <v>0</v>
      </c>
      <c r="J175" s="10">
        <v>113.53</v>
      </c>
      <c r="K175" s="10">
        <v>114.62</v>
      </c>
      <c r="M175" s="10">
        <v>42.564999999999998</v>
      </c>
      <c r="N175" s="10">
        <v>57.984300000000005</v>
      </c>
      <c r="O175" s="10">
        <v>55.047290000000004</v>
      </c>
      <c r="Q175" s="21">
        <v>431.14</v>
      </c>
      <c r="R175" s="21">
        <v>573.05999999999995</v>
      </c>
      <c r="S175" s="21">
        <v>546.03</v>
      </c>
    </row>
    <row r="176" spans="1:19" x14ac:dyDescent="0.2">
      <c r="A176" s="9" t="s">
        <v>355</v>
      </c>
      <c r="B176" s="9" t="s">
        <v>356</v>
      </c>
      <c r="C176" s="9">
        <v>16</v>
      </c>
      <c r="D176" s="9">
        <v>0</v>
      </c>
      <c r="E176" s="9">
        <v>86</v>
      </c>
      <c r="F176" s="9">
        <f t="shared" si="2"/>
        <v>102</v>
      </c>
      <c r="H176" s="10">
        <v>135.93</v>
      </c>
      <c r="I176" s="10">
        <v>0</v>
      </c>
      <c r="J176" s="10">
        <v>129.31</v>
      </c>
      <c r="K176" s="10">
        <v>130.30000000000001</v>
      </c>
      <c r="M176" s="10">
        <v>150.96664999999999</v>
      </c>
      <c r="N176" s="10">
        <v>193.39247</v>
      </c>
      <c r="O176" s="10">
        <v>187.07373000000001</v>
      </c>
      <c r="Q176" s="21">
        <v>1334.6</v>
      </c>
      <c r="R176" s="21">
        <v>1597.61</v>
      </c>
      <c r="S176" s="21">
        <v>1558.44</v>
      </c>
    </row>
    <row r="177" spans="1:19" x14ac:dyDescent="0.2">
      <c r="A177" s="9" t="s">
        <v>357</v>
      </c>
      <c r="B177" s="9" t="s">
        <v>358</v>
      </c>
      <c r="C177" s="9">
        <v>14</v>
      </c>
      <c r="D177" s="9">
        <v>1</v>
      </c>
      <c r="E177" s="9">
        <v>67</v>
      </c>
      <c r="F177" s="9">
        <f t="shared" si="2"/>
        <v>82</v>
      </c>
      <c r="H177" s="10">
        <v>138.69</v>
      </c>
      <c r="I177" s="10">
        <v>87</v>
      </c>
      <c r="J177" s="10">
        <v>101.02</v>
      </c>
      <c r="K177" s="10">
        <v>107.72</v>
      </c>
      <c r="M177" s="10">
        <v>131.13845999999998</v>
      </c>
      <c r="N177" s="10">
        <v>106.82053000000001</v>
      </c>
      <c r="O177" s="10">
        <v>112.46575999999999</v>
      </c>
      <c r="Q177" s="21">
        <v>990.62</v>
      </c>
      <c r="R177" s="21">
        <v>1049.8399999999999</v>
      </c>
      <c r="S177" s="21">
        <v>1036.0899999999999</v>
      </c>
    </row>
    <row r="178" spans="1:19" x14ac:dyDescent="0.2">
      <c r="A178" s="9" t="s">
        <v>359</v>
      </c>
      <c r="B178" s="9" t="s">
        <v>360</v>
      </c>
      <c r="C178" s="9">
        <v>3</v>
      </c>
      <c r="D178" s="9">
        <v>0</v>
      </c>
      <c r="E178" s="9">
        <v>57</v>
      </c>
      <c r="F178" s="9">
        <f t="shared" si="2"/>
        <v>60</v>
      </c>
      <c r="H178" s="10">
        <v>101</v>
      </c>
      <c r="I178" s="10">
        <v>0</v>
      </c>
      <c r="J178" s="10">
        <v>111.85</v>
      </c>
      <c r="K178" s="10">
        <v>111.26</v>
      </c>
      <c r="M178" s="10">
        <v>119.46666999999999</v>
      </c>
      <c r="N178" s="10">
        <v>121.07065</v>
      </c>
      <c r="O178" s="10">
        <v>120.98316</v>
      </c>
      <c r="Q178" s="21">
        <v>1104.1199999999999</v>
      </c>
      <c r="R178" s="21">
        <v>1152.5</v>
      </c>
      <c r="S178" s="21">
        <v>1149.8599999999999</v>
      </c>
    </row>
    <row r="179" spans="1:19" x14ac:dyDescent="0.2">
      <c r="A179" s="9" t="s">
        <v>361</v>
      </c>
      <c r="B179" s="9" t="s">
        <v>362</v>
      </c>
      <c r="C179" s="9">
        <v>55</v>
      </c>
      <c r="D179" s="9">
        <v>0</v>
      </c>
      <c r="E179" s="9">
        <v>401</v>
      </c>
      <c r="F179" s="9">
        <f t="shared" si="2"/>
        <v>456</v>
      </c>
      <c r="H179" s="10">
        <v>116.93</v>
      </c>
      <c r="I179" s="10">
        <v>0</v>
      </c>
      <c r="J179" s="10">
        <v>100.24</v>
      </c>
      <c r="K179" s="10">
        <v>101.99</v>
      </c>
      <c r="M179" s="10">
        <v>438.59404000000001</v>
      </c>
      <c r="N179" s="10">
        <v>423.834</v>
      </c>
      <c r="O179" s="10">
        <v>425.41280999999998</v>
      </c>
      <c r="Q179" s="21">
        <v>4159.99</v>
      </c>
      <c r="R179" s="21">
        <v>4363.5</v>
      </c>
      <c r="S179" s="21">
        <v>4341.7299999999996</v>
      </c>
    </row>
    <row r="180" spans="1:19" x14ac:dyDescent="0.2">
      <c r="A180" s="9" t="s">
        <v>363</v>
      </c>
      <c r="B180" s="9" t="s">
        <v>364</v>
      </c>
      <c r="C180" s="9">
        <v>11</v>
      </c>
      <c r="D180" s="9">
        <v>0</v>
      </c>
      <c r="E180" s="9">
        <v>36</v>
      </c>
      <c r="F180" s="9">
        <f t="shared" si="2"/>
        <v>47</v>
      </c>
      <c r="H180" s="10">
        <v>86.88</v>
      </c>
      <c r="I180" s="10">
        <v>0</v>
      </c>
      <c r="J180" s="10">
        <v>110.12</v>
      </c>
      <c r="K180" s="10">
        <v>105.69</v>
      </c>
      <c r="M180" s="10">
        <v>92.412499999999994</v>
      </c>
      <c r="N180" s="10">
        <v>104.34980999999999</v>
      </c>
      <c r="O180" s="10">
        <v>101.69707000000001</v>
      </c>
      <c r="Q180" s="21">
        <v>980.42</v>
      </c>
      <c r="R180" s="21">
        <v>943.01</v>
      </c>
      <c r="S180" s="21">
        <v>951.32</v>
      </c>
    </row>
    <row r="181" spans="1:19" x14ac:dyDescent="0.2">
      <c r="A181" s="9" t="s">
        <v>365</v>
      </c>
      <c r="B181" s="9" t="s">
        <v>366</v>
      </c>
      <c r="C181" s="9">
        <v>8</v>
      </c>
      <c r="D181" s="9">
        <v>0</v>
      </c>
      <c r="E181" s="9">
        <v>33</v>
      </c>
      <c r="F181" s="9">
        <f t="shared" si="2"/>
        <v>41</v>
      </c>
      <c r="H181" s="10">
        <v>85.38</v>
      </c>
      <c r="I181" s="10">
        <v>0</v>
      </c>
      <c r="J181" s="10">
        <v>80.739999999999995</v>
      </c>
      <c r="K181" s="10">
        <v>81.69</v>
      </c>
      <c r="M181" s="10">
        <v>82.3</v>
      </c>
      <c r="N181" s="10">
        <v>58.260269999999998</v>
      </c>
      <c r="O181" s="10">
        <v>63.321269999999998</v>
      </c>
      <c r="Q181" s="21">
        <v>932.82</v>
      </c>
      <c r="R181" s="21">
        <v>742.33</v>
      </c>
      <c r="S181" s="21">
        <v>782.43</v>
      </c>
    </row>
    <row r="182" spans="1:19" x14ac:dyDescent="0.2">
      <c r="A182" s="9" t="s">
        <v>367</v>
      </c>
      <c r="B182" s="9" t="s">
        <v>368</v>
      </c>
      <c r="C182" s="9">
        <v>15</v>
      </c>
      <c r="D182" s="9">
        <v>0</v>
      </c>
      <c r="E182" s="9">
        <v>21</v>
      </c>
      <c r="F182" s="9">
        <f t="shared" si="2"/>
        <v>36</v>
      </c>
      <c r="H182" s="10">
        <v>96.69</v>
      </c>
      <c r="I182" s="10">
        <v>0</v>
      </c>
      <c r="J182" s="10">
        <v>95.62</v>
      </c>
      <c r="K182" s="10">
        <v>96.03</v>
      </c>
      <c r="M182" s="10">
        <v>141.69085999999999</v>
      </c>
      <c r="N182" s="10">
        <v>156.01232000000002</v>
      </c>
      <c r="O182" s="10">
        <v>150.28373999999999</v>
      </c>
      <c r="Q182" s="21">
        <v>2493.44</v>
      </c>
      <c r="R182" s="21">
        <v>1866.14</v>
      </c>
      <c r="S182" s="21">
        <v>2117.06</v>
      </c>
    </row>
    <row r="183" spans="1:19" x14ac:dyDescent="0.2">
      <c r="A183" s="9" t="s">
        <v>369</v>
      </c>
      <c r="B183" s="9" t="s">
        <v>370</v>
      </c>
      <c r="C183" s="9">
        <v>245</v>
      </c>
      <c r="D183" s="9">
        <v>1</v>
      </c>
      <c r="E183" s="9">
        <v>1379</v>
      </c>
      <c r="F183" s="9">
        <f t="shared" si="2"/>
        <v>1625</v>
      </c>
      <c r="H183" s="10">
        <v>98.53</v>
      </c>
      <c r="I183" s="10">
        <v>78</v>
      </c>
      <c r="J183" s="10">
        <v>85.59</v>
      </c>
      <c r="K183" s="10">
        <v>87.48</v>
      </c>
      <c r="M183" s="10">
        <v>155.02889000000002</v>
      </c>
      <c r="N183" s="10">
        <v>110.65473</v>
      </c>
      <c r="O183" s="10">
        <v>117.24968</v>
      </c>
      <c r="Q183" s="21">
        <v>1487.66</v>
      </c>
      <c r="R183" s="21">
        <v>1233.3800000000001</v>
      </c>
      <c r="S183" s="21">
        <v>1271.17</v>
      </c>
    </row>
    <row r="184" spans="1:19" x14ac:dyDescent="0.2">
      <c r="A184" s="9" t="s">
        <v>371</v>
      </c>
      <c r="B184" s="9" t="s">
        <v>372</v>
      </c>
      <c r="C184" s="9">
        <v>55</v>
      </c>
      <c r="D184" s="9">
        <v>2</v>
      </c>
      <c r="E184" s="9">
        <v>162</v>
      </c>
      <c r="F184" s="9">
        <f t="shared" si="2"/>
        <v>219</v>
      </c>
      <c r="H184" s="10">
        <v>95.9</v>
      </c>
      <c r="I184" s="10">
        <v>0</v>
      </c>
      <c r="J184" s="10">
        <v>102.54</v>
      </c>
      <c r="K184" s="10">
        <v>100.47</v>
      </c>
      <c r="M184" s="10">
        <v>63.414650000000002</v>
      </c>
      <c r="N184" s="10">
        <v>77.207759999999993</v>
      </c>
      <c r="O184" s="10">
        <v>72.192080000000004</v>
      </c>
      <c r="Q184" s="21">
        <v>642.87</v>
      </c>
      <c r="R184" s="21">
        <v>761.66</v>
      </c>
      <c r="S184" s="21">
        <v>718.46</v>
      </c>
    </row>
    <row r="185" spans="1:19" x14ac:dyDescent="0.2">
      <c r="A185" s="9" t="s">
        <v>373</v>
      </c>
      <c r="B185" s="9" t="s">
        <v>374</v>
      </c>
      <c r="C185" s="9">
        <v>23</v>
      </c>
      <c r="D185" s="9">
        <v>0</v>
      </c>
      <c r="E185" s="9">
        <v>74</v>
      </c>
      <c r="F185" s="9">
        <f t="shared" si="2"/>
        <v>97</v>
      </c>
      <c r="H185" s="10">
        <v>276.89999999999998</v>
      </c>
      <c r="I185" s="10">
        <v>0</v>
      </c>
      <c r="J185" s="10">
        <v>118.19</v>
      </c>
      <c r="K185" s="10">
        <v>154.82</v>
      </c>
      <c r="M185" s="10">
        <v>605.37886000000003</v>
      </c>
      <c r="N185" s="10">
        <v>322.93822999999998</v>
      </c>
      <c r="O185" s="10">
        <v>388.11684000000002</v>
      </c>
      <c r="Q185" s="21">
        <v>2221.7600000000002</v>
      </c>
      <c r="R185" s="21">
        <v>2953.06</v>
      </c>
      <c r="S185" s="21">
        <v>2784.3</v>
      </c>
    </row>
    <row r="186" spans="1:19" x14ac:dyDescent="0.2">
      <c r="A186" s="9" t="s">
        <v>375</v>
      </c>
      <c r="B186" s="9" t="s">
        <v>376</v>
      </c>
      <c r="C186" s="9">
        <v>229</v>
      </c>
      <c r="D186" s="9">
        <v>1</v>
      </c>
      <c r="E186" s="9">
        <v>2529</v>
      </c>
      <c r="F186" s="9">
        <f t="shared" si="2"/>
        <v>2759</v>
      </c>
      <c r="H186" s="10">
        <v>78.099999999999994</v>
      </c>
      <c r="I186" s="10">
        <v>58</v>
      </c>
      <c r="J186" s="10">
        <v>87.97</v>
      </c>
      <c r="K186" s="10">
        <v>87.16</v>
      </c>
      <c r="M186" s="10">
        <v>129.81596000000002</v>
      </c>
      <c r="N186" s="10">
        <v>130.72908999999999</v>
      </c>
      <c r="O186" s="10">
        <v>130.65396000000001</v>
      </c>
      <c r="Q186" s="21">
        <v>1780.28</v>
      </c>
      <c r="R186" s="21">
        <v>1541.09</v>
      </c>
      <c r="S186" s="21">
        <v>1560.77</v>
      </c>
    </row>
    <row r="187" spans="1:19" x14ac:dyDescent="0.2">
      <c r="A187" s="9" t="s">
        <v>377</v>
      </c>
      <c r="B187" s="9" t="s">
        <v>378</v>
      </c>
      <c r="C187" s="9">
        <v>39</v>
      </c>
      <c r="D187" s="9">
        <v>0</v>
      </c>
      <c r="E187" s="9">
        <v>67</v>
      </c>
      <c r="F187" s="9">
        <f t="shared" si="2"/>
        <v>106</v>
      </c>
      <c r="H187" s="10">
        <v>117.92</v>
      </c>
      <c r="I187" s="10">
        <v>0</v>
      </c>
      <c r="J187" s="10">
        <v>151.47999999999999</v>
      </c>
      <c r="K187" s="10">
        <v>138.85</v>
      </c>
      <c r="M187" s="10">
        <v>358.96810999999997</v>
      </c>
      <c r="N187" s="10">
        <v>343.08090999999996</v>
      </c>
      <c r="O187" s="10">
        <v>349.05826999999999</v>
      </c>
      <c r="Q187" s="21">
        <v>3411.5</v>
      </c>
      <c r="R187" s="21">
        <v>2530.33</v>
      </c>
      <c r="S187" s="21">
        <v>2861.86</v>
      </c>
    </row>
    <row r="188" spans="1:19" x14ac:dyDescent="0.2">
      <c r="A188" s="9" t="s">
        <v>379</v>
      </c>
      <c r="B188" s="9" t="s">
        <v>380</v>
      </c>
      <c r="C188" s="9">
        <v>14</v>
      </c>
      <c r="D188" s="9">
        <v>0</v>
      </c>
      <c r="E188" s="9">
        <v>40</v>
      </c>
      <c r="F188" s="9">
        <f t="shared" si="2"/>
        <v>54</v>
      </c>
      <c r="H188" s="10">
        <v>94.38</v>
      </c>
      <c r="I188" s="10">
        <v>0</v>
      </c>
      <c r="J188" s="10">
        <v>92.19</v>
      </c>
      <c r="K188" s="10">
        <v>92.77</v>
      </c>
      <c r="M188" s="10">
        <v>107.63746</v>
      </c>
      <c r="N188" s="10">
        <v>147.64634000000001</v>
      </c>
      <c r="O188" s="10">
        <v>137.03173999999999</v>
      </c>
      <c r="Q188" s="21">
        <v>1314.73</v>
      </c>
      <c r="R188" s="21">
        <v>1676.75</v>
      </c>
      <c r="S188" s="21">
        <v>1580.7</v>
      </c>
    </row>
    <row r="189" spans="1:19" x14ac:dyDescent="0.2">
      <c r="A189" s="9" t="s">
        <v>381</v>
      </c>
      <c r="B189" s="9" t="s">
        <v>382</v>
      </c>
      <c r="C189" s="9">
        <v>28</v>
      </c>
      <c r="D189" s="9">
        <v>0</v>
      </c>
      <c r="E189" s="9">
        <v>191</v>
      </c>
      <c r="F189" s="9">
        <f t="shared" si="2"/>
        <v>219</v>
      </c>
      <c r="H189" s="10">
        <v>87.16</v>
      </c>
      <c r="I189" s="10">
        <v>0</v>
      </c>
      <c r="J189" s="10">
        <v>105.8</v>
      </c>
      <c r="K189" s="10">
        <v>103.4</v>
      </c>
      <c r="M189" s="10">
        <v>88.881960000000007</v>
      </c>
      <c r="N189" s="10">
        <v>112.60399000000001</v>
      </c>
      <c r="O189" s="10">
        <v>109.48267</v>
      </c>
      <c r="Q189" s="21">
        <v>1076.42</v>
      </c>
      <c r="R189" s="21">
        <v>1134.68</v>
      </c>
      <c r="S189" s="21">
        <v>1127.01</v>
      </c>
    </row>
    <row r="190" spans="1:19" x14ac:dyDescent="0.2">
      <c r="A190" s="9" t="s">
        <v>383</v>
      </c>
      <c r="B190" s="9" t="s">
        <v>384</v>
      </c>
      <c r="C190" s="9">
        <v>6</v>
      </c>
      <c r="D190" s="9">
        <v>0</v>
      </c>
      <c r="E190" s="9">
        <v>127</v>
      </c>
      <c r="F190" s="9">
        <f t="shared" si="2"/>
        <v>133</v>
      </c>
      <c r="H190" s="10">
        <v>73.599999999999994</v>
      </c>
      <c r="I190" s="10">
        <v>0</v>
      </c>
      <c r="J190" s="10">
        <v>97.54</v>
      </c>
      <c r="K190" s="10">
        <v>96.53</v>
      </c>
      <c r="M190" s="10">
        <v>81.599999999999994</v>
      </c>
      <c r="N190" s="10">
        <v>90.362639999999999</v>
      </c>
      <c r="O190" s="10">
        <v>89.991339999999994</v>
      </c>
      <c r="Q190" s="21">
        <v>1125.2</v>
      </c>
      <c r="R190" s="21">
        <v>1006.93</v>
      </c>
      <c r="S190" s="21">
        <v>1011.94</v>
      </c>
    </row>
    <row r="191" spans="1:19" x14ac:dyDescent="0.2">
      <c r="A191" s="9" t="s">
        <v>385</v>
      </c>
      <c r="B191" s="9" t="s">
        <v>386</v>
      </c>
      <c r="C191" s="9">
        <v>50</v>
      </c>
      <c r="D191" s="9">
        <v>5</v>
      </c>
      <c r="E191" s="9">
        <v>265</v>
      </c>
      <c r="F191" s="9">
        <f t="shared" si="2"/>
        <v>320</v>
      </c>
      <c r="H191" s="10">
        <v>83.4</v>
      </c>
      <c r="I191" s="10">
        <v>79.400000000000006</v>
      </c>
      <c r="J191" s="10">
        <v>87.17</v>
      </c>
      <c r="K191" s="10">
        <v>86.43</v>
      </c>
      <c r="M191" s="10">
        <v>117.73771000000001</v>
      </c>
      <c r="N191" s="10">
        <v>129.94749999999999</v>
      </c>
      <c r="O191" s="10">
        <v>127.92784</v>
      </c>
      <c r="Q191" s="21">
        <v>1513.98</v>
      </c>
      <c r="R191" s="21">
        <v>1519.7</v>
      </c>
      <c r="S191" s="21">
        <v>1518.75</v>
      </c>
    </row>
    <row r="192" spans="1:19" x14ac:dyDescent="0.2">
      <c r="A192" s="9" t="s">
        <v>387</v>
      </c>
      <c r="B192" s="9" t="s">
        <v>388</v>
      </c>
      <c r="C192" s="9">
        <v>11</v>
      </c>
      <c r="D192" s="9">
        <v>0</v>
      </c>
      <c r="E192" s="9">
        <v>53</v>
      </c>
      <c r="F192" s="9">
        <f t="shared" si="2"/>
        <v>64</v>
      </c>
      <c r="H192" s="10">
        <v>95</v>
      </c>
      <c r="I192" s="10">
        <v>0</v>
      </c>
      <c r="J192" s="10">
        <v>136.74</v>
      </c>
      <c r="K192" s="10">
        <v>128.68</v>
      </c>
      <c r="M192" s="10">
        <v>159.53541000000001</v>
      </c>
      <c r="N192" s="10">
        <v>193.22735999999998</v>
      </c>
      <c r="O192" s="10">
        <v>186.72540000000001</v>
      </c>
      <c r="Q192" s="21">
        <v>1785.22</v>
      </c>
      <c r="R192" s="21">
        <v>1554.49</v>
      </c>
      <c r="S192" s="21">
        <v>1599.02</v>
      </c>
    </row>
    <row r="193" spans="1:19" x14ac:dyDescent="0.2">
      <c r="A193" s="9" t="s">
        <v>389</v>
      </c>
      <c r="B193" s="9" t="s">
        <v>390</v>
      </c>
      <c r="C193" s="9">
        <v>49</v>
      </c>
      <c r="D193" s="9">
        <v>1</v>
      </c>
      <c r="E193" s="9">
        <v>198</v>
      </c>
      <c r="F193" s="9">
        <f t="shared" si="2"/>
        <v>248</v>
      </c>
      <c r="H193" s="10">
        <v>81.849999999999994</v>
      </c>
      <c r="I193" s="10">
        <v>59</v>
      </c>
      <c r="J193" s="10">
        <v>80.97</v>
      </c>
      <c r="K193" s="10">
        <v>81.05</v>
      </c>
      <c r="M193" s="10">
        <v>127.03617</v>
      </c>
      <c r="N193" s="10">
        <v>122.20058</v>
      </c>
      <c r="O193" s="10">
        <v>123.17183</v>
      </c>
      <c r="Q193" s="21">
        <v>1723.53</v>
      </c>
      <c r="R193" s="21">
        <v>1646.1</v>
      </c>
      <c r="S193" s="21">
        <v>1661.65</v>
      </c>
    </row>
    <row r="194" spans="1:19" x14ac:dyDescent="0.2">
      <c r="A194" s="9" t="s">
        <v>391</v>
      </c>
      <c r="B194" s="9" t="s">
        <v>392</v>
      </c>
      <c r="C194" s="9">
        <v>6</v>
      </c>
      <c r="D194" s="9">
        <v>0</v>
      </c>
      <c r="E194" s="9">
        <v>322</v>
      </c>
      <c r="F194" s="9">
        <f t="shared" si="2"/>
        <v>328</v>
      </c>
      <c r="H194" s="10">
        <v>86</v>
      </c>
      <c r="I194" s="10">
        <v>0</v>
      </c>
      <c r="J194" s="10">
        <v>89.91</v>
      </c>
      <c r="K194" s="10">
        <v>89.82</v>
      </c>
      <c r="M194" s="10">
        <v>106.22332</v>
      </c>
      <c r="N194" s="10">
        <v>78.16816</v>
      </c>
      <c r="O194" s="10">
        <v>78.84147999999999</v>
      </c>
      <c r="Q194" s="21">
        <v>1228.03</v>
      </c>
      <c r="R194" s="21">
        <v>873.05</v>
      </c>
      <c r="S194" s="21">
        <v>881.57</v>
      </c>
    </row>
    <row r="195" spans="1:19" x14ac:dyDescent="0.2">
      <c r="A195" s="1" t="s">
        <v>393</v>
      </c>
      <c r="B195" s="1" t="s">
        <v>394</v>
      </c>
      <c r="C195" s="9">
        <v>7</v>
      </c>
      <c r="D195" s="9">
        <v>0</v>
      </c>
      <c r="E195" s="9">
        <v>155</v>
      </c>
      <c r="F195" s="9">
        <f t="shared" si="2"/>
        <v>162</v>
      </c>
      <c r="H195" s="10">
        <v>131</v>
      </c>
      <c r="I195" s="10">
        <v>0</v>
      </c>
      <c r="J195" s="10">
        <v>77.16</v>
      </c>
      <c r="K195" s="10">
        <v>79.81</v>
      </c>
      <c r="M195" s="10">
        <v>293.64603000000005</v>
      </c>
      <c r="N195" s="10">
        <v>165.01534000000001</v>
      </c>
      <c r="O195" s="10">
        <v>171.44686999999999</v>
      </c>
      <c r="Q195" s="21">
        <v>2161.1799999999998</v>
      </c>
      <c r="R195" s="21">
        <v>2154.9</v>
      </c>
      <c r="S195" s="21">
        <v>2155.21</v>
      </c>
    </row>
    <row r="196" spans="1:19" x14ac:dyDescent="0.2">
      <c r="A196" s="1" t="s">
        <v>395</v>
      </c>
      <c r="B196" s="1" t="s">
        <v>396</v>
      </c>
      <c r="C196" s="9">
        <v>0</v>
      </c>
      <c r="D196" s="9">
        <v>0</v>
      </c>
      <c r="E196" s="9">
        <v>72</v>
      </c>
      <c r="F196" s="9">
        <f t="shared" si="2"/>
        <v>72</v>
      </c>
      <c r="H196" s="10">
        <v>0</v>
      </c>
      <c r="I196" s="10">
        <v>0</v>
      </c>
      <c r="J196" s="10">
        <v>103.91</v>
      </c>
      <c r="K196" s="10">
        <v>103.91</v>
      </c>
      <c r="M196" s="10">
        <v>0</v>
      </c>
      <c r="N196" s="10">
        <v>59.554430000000004</v>
      </c>
      <c r="O196" s="10">
        <v>59.554430000000004</v>
      </c>
      <c r="Q196" s="21">
        <v>0</v>
      </c>
      <c r="R196" s="21">
        <v>583.11</v>
      </c>
      <c r="S196" s="21">
        <v>583.11</v>
      </c>
    </row>
    <row r="197" spans="1:19" x14ac:dyDescent="0.2">
      <c r="A197" s="1" t="s">
        <v>397</v>
      </c>
      <c r="B197" s="1" t="s">
        <v>398</v>
      </c>
      <c r="C197" s="9">
        <v>14</v>
      </c>
      <c r="D197" s="9">
        <v>1</v>
      </c>
      <c r="E197" s="9">
        <v>49</v>
      </c>
      <c r="F197" s="9">
        <f t="shared" si="2"/>
        <v>64</v>
      </c>
      <c r="H197" s="10">
        <v>103.67</v>
      </c>
      <c r="I197" s="10">
        <v>65</v>
      </c>
      <c r="J197" s="10">
        <v>97.62</v>
      </c>
      <c r="K197" s="10">
        <v>98.57</v>
      </c>
      <c r="M197" s="10">
        <v>54.289569999999998</v>
      </c>
      <c r="N197" s="10">
        <v>56.66422</v>
      </c>
      <c r="O197" s="10">
        <v>55.969199999999994</v>
      </c>
      <c r="Q197" s="21">
        <v>605.29</v>
      </c>
      <c r="R197" s="21">
        <v>635.58000000000004</v>
      </c>
      <c r="S197" s="21">
        <v>626.71</v>
      </c>
    </row>
    <row r="198" spans="1:19" x14ac:dyDescent="0.2">
      <c r="A198" s="1" t="s">
        <v>399</v>
      </c>
      <c r="B198" s="1" t="s">
        <v>400</v>
      </c>
      <c r="C198" s="9">
        <v>1</v>
      </c>
      <c r="D198" s="9">
        <v>0</v>
      </c>
      <c r="E198" s="9">
        <v>83</v>
      </c>
      <c r="F198" s="9">
        <f t="shared" ref="F198:F215" si="3">SUM(C198:E198)</f>
        <v>84</v>
      </c>
      <c r="H198" s="10">
        <v>78</v>
      </c>
      <c r="I198" s="10">
        <v>0</v>
      </c>
      <c r="J198" s="10">
        <v>136.37</v>
      </c>
      <c r="K198" s="10">
        <v>135.55000000000001</v>
      </c>
      <c r="M198" s="10">
        <v>0</v>
      </c>
      <c r="N198" s="10">
        <v>210.91844</v>
      </c>
      <c r="O198" s="10">
        <v>210.48296999999999</v>
      </c>
      <c r="Q198" s="21">
        <v>0</v>
      </c>
      <c r="R198" s="21">
        <v>1754.4</v>
      </c>
      <c r="S198" s="21">
        <v>1762.19</v>
      </c>
    </row>
    <row r="199" spans="1:19" x14ac:dyDescent="0.2">
      <c r="A199" s="1" t="s">
        <v>401</v>
      </c>
      <c r="B199" s="1" t="s">
        <v>402</v>
      </c>
      <c r="C199" s="9">
        <v>41</v>
      </c>
      <c r="D199" s="9">
        <v>3</v>
      </c>
      <c r="E199" s="9">
        <v>95</v>
      </c>
      <c r="F199" s="9">
        <f t="shared" si="3"/>
        <v>139</v>
      </c>
      <c r="H199" s="10">
        <v>146.18</v>
      </c>
      <c r="I199" s="10">
        <v>79.5</v>
      </c>
      <c r="J199" s="10">
        <v>134.5</v>
      </c>
      <c r="K199" s="10">
        <v>137.07</v>
      </c>
      <c r="M199" s="10">
        <v>186.55</v>
      </c>
      <c r="N199" s="10">
        <v>175.79517000000001</v>
      </c>
      <c r="O199" s="10">
        <v>178.98801</v>
      </c>
      <c r="Q199" s="21">
        <v>1443.1</v>
      </c>
      <c r="R199" s="21">
        <v>1540.77</v>
      </c>
      <c r="S199" s="21">
        <v>1511.77</v>
      </c>
    </row>
    <row r="200" spans="1:19" x14ac:dyDescent="0.2">
      <c r="A200" s="1" t="s">
        <v>403</v>
      </c>
      <c r="B200" s="1" t="s">
        <v>404</v>
      </c>
      <c r="C200" s="9">
        <v>3</v>
      </c>
      <c r="D200" s="9">
        <v>0</v>
      </c>
      <c r="E200" s="9">
        <v>96</v>
      </c>
      <c r="F200" s="9">
        <f t="shared" si="3"/>
        <v>99</v>
      </c>
      <c r="H200" s="10">
        <v>133</v>
      </c>
      <c r="I200" s="10">
        <v>0</v>
      </c>
      <c r="J200" s="10">
        <v>82.57</v>
      </c>
      <c r="K200" s="10">
        <v>83.68</v>
      </c>
      <c r="M200" s="10">
        <v>134.5</v>
      </c>
      <c r="N200" s="10">
        <v>98.196110000000004</v>
      </c>
      <c r="O200" s="10">
        <v>98.994</v>
      </c>
      <c r="Q200" s="21">
        <v>1039.47</v>
      </c>
      <c r="R200" s="21">
        <v>1170.23</v>
      </c>
      <c r="S200" s="21">
        <v>1167.3599999999999</v>
      </c>
    </row>
    <row r="201" spans="1:19" x14ac:dyDescent="0.2">
      <c r="A201" s="1" t="s">
        <v>405</v>
      </c>
      <c r="B201" s="1" t="s">
        <v>406</v>
      </c>
      <c r="C201" s="9">
        <v>22</v>
      </c>
      <c r="D201" s="9">
        <v>0</v>
      </c>
      <c r="E201" s="9">
        <v>47</v>
      </c>
      <c r="F201" s="9">
        <f t="shared" si="3"/>
        <v>69</v>
      </c>
      <c r="H201" s="10">
        <v>82.9</v>
      </c>
      <c r="I201" s="10">
        <v>0</v>
      </c>
      <c r="J201" s="10">
        <v>75.92</v>
      </c>
      <c r="K201" s="10">
        <v>78.290000000000006</v>
      </c>
      <c r="M201" s="10">
        <v>101.495</v>
      </c>
      <c r="N201" s="10">
        <v>105.58058</v>
      </c>
      <c r="O201" s="10">
        <v>104.03885000000001</v>
      </c>
      <c r="Q201" s="21">
        <v>1226.83</v>
      </c>
      <c r="R201" s="21">
        <v>1412.9</v>
      </c>
      <c r="S201" s="21">
        <v>1342.68</v>
      </c>
    </row>
    <row r="202" spans="1:19" x14ac:dyDescent="0.2">
      <c r="A202" s="1" t="s">
        <v>407</v>
      </c>
      <c r="B202" s="1" t="s">
        <v>408</v>
      </c>
      <c r="C202" s="9">
        <v>32</v>
      </c>
      <c r="D202" s="9">
        <v>0</v>
      </c>
      <c r="E202" s="9">
        <v>720</v>
      </c>
      <c r="F202" s="9">
        <f t="shared" si="3"/>
        <v>752</v>
      </c>
      <c r="H202" s="10">
        <v>85.43</v>
      </c>
      <c r="I202" s="10">
        <v>0</v>
      </c>
      <c r="J202" s="10">
        <v>92.55</v>
      </c>
      <c r="K202" s="10">
        <v>92.27</v>
      </c>
      <c r="M202" s="10">
        <v>79.726609999999994</v>
      </c>
      <c r="N202" s="10">
        <v>107.3994</v>
      </c>
      <c r="O202" s="10">
        <v>106.30865</v>
      </c>
      <c r="Q202" s="21">
        <v>848.52</v>
      </c>
      <c r="R202" s="21">
        <v>1243.83</v>
      </c>
      <c r="S202" s="21">
        <v>1228.25</v>
      </c>
    </row>
    <row r="203" spans="1:19" x14ac:dyDescent="0.2">
      <c r="A203" s="1" t="s">
        <v>409</v>
      </c>
      <c r="B203" s="1" t="s">
        <v>410</v>
      </c>
      <c r="C203" s="9">
        <v>65</v>
      </c>
      <c r="D203" s="9">
        <v>4</v>
      </c>
      <c r="E203" s="9">
        <v>407</v>
      </c>
      <c r="F203" s="9">
        <f t="shared" si="3"/>
        <v>476</v>
      </c>
      <c r="H203" s="10">
        <v>99.38</v>
      </c>
      <c r="I203" s="10">
        <v>85.67</v>
      </c>
      <c r="J203" s="10">
        <v>83.4</v>
      </c>
      <c r="K203" s="10">
        <v>85.58</v>
      </c>
      <c r="M203" s="10">
        <v>138.24789999999999</v>
      </c>
      <c r="N203" s="10">
        <v>111.68883</v>
      </c>
      <c r="O203" s="10">
        <v>115.55666000000001</v>
      </c>
      <c r="Q203" s="21">
        <v>1507.05</v>
      </c>
      <c r="R203" s="21">
        <v>1391.12</v>
      </c>
      <c r="S203" s="21">
        <v>1408</v>
      </c>
    </row>
    <row r="204" spans="1:19" x14ac:dyDescent="0.2">
      <c r="A204" s="1" t="s">
        <v>411</v>
      </c>
      <c r="B204" s="1" t="s">
        <v>412</v>
      </c>
      <c r="C204" s="9">
        <v>12</v>
      </c>
      <c r="D204" s="9">
        <v>0</v>
      </c>
      <c r="E204" s="9">
        <v>68</v>
      </c>
      <c r="F204" s="9">
        <f t="shared" si="3"/>
        <v>80</v>
      </c>
      <c r="H204" s="10">
        <v>125.11</v>
      </c>
      <c r="I204" s="10">
        <v>0</v>
      </c>
      <c r="J204" s="10">
        <v>117.63</v>
      </c>
      <c r="K204" s="10">
        <v>118.73</v>
      </c>
      <c r="M204" s="10">
        <v>116.00821999999999</v>
      </c>
      <c r="N204" s="10">
        <v>128.39837</v>
      </c>
      <c r="O204" s="10">
        <v>126.57032000000001</v>
      </c>
      <c r="Q204" s="21">
        <v>1097.32</v>
      </c>
      <c r="R204" s="21">
        <v>1161.1400000000001</v>
      </c>
      <c r="S204" s="21">
        <v>1151.72</v>
      </c>
    </row>
    <row r="205" spans="1:19" x14ac:dyDescent="0.2">
      <c r="A205" s="1" t="s">
        <v>413</v>
      </c>
      <c r="B205" s="1" t="s">
        <v>414</v>
      </c>
      <c r="C205" s="9">
        <v>9</v>
      </c>
      <c r="D205" s="9">
        <v>0</v>
      </c>
      <c r="E205" s="9">
        <v>143</v>
      </c>
      <c r="F205" s="9">
        <f t="shared" si="3"/>
        <v>152</v>
      </c>
      <c r="H205" s="10">
        <v>92.67</v>
      </c>
      <c r="I205" s="10">
        <v>0</v>
      </c>
      <c r="J205" s="10">
        <v>88.3</v>
      </c>
      <c r="K205" s="10">
        <v>88.58</v>
      </c>
      <c r="M205" s="10">
        <v>105.90663000000001</v>
      </c>
      <c r="N205" s="10">
        <v>135.97408999999999</v>
      </c>
      <c r="O205" s="10">
        <v>133.98433</v>
      </c>
      <c r="Q205" s="21">
        <v>1184.3800000000001</v>
      </c>
      <c r="R205" s="21">
        <v>1570.91</v>
      </c>
      <c r="S205" s="21">
        <v>1545.33</v>
      </c>
    </row>
    <row r="206" spans="1:19" x14ac:dyDescent="0.2">
      <c r="A206" s="1" t="s">
        <v>415</v>
      </c>
      <c r="B206" s="1" t="s">
        <v>416</v>
      </c>
      <c r="C206" s="9">
        <v>13</v>
      </c>
      <c r="D206" s="9">
        <v>0</v>
      </c>
      <c r="E206" s="9">
        <v>598</v>
      </c>
      <c r="F206" s="9">
        <f t="shared" si="3"/>
        <v>611</v>
      </c>
      <c r="H206" s="10">
        <v>83.92</v>
      </c>
      <c r="I206" s="10">
        <v>0</v>
      </c>
      <c r="J206" s="10">
        <v>84.05</v>
      </c>
      <c r="K206" s="10">
        <v>84.05</v>
      </c>
      <c r="M206" s="10">
        <v>196.40044</v>
      </c>
      <c r="N206" s="10">
        <v>182.25624999999999</v>
      </c>
      <c r="O206" s="10">
        <v>182.57057</v>
      </c>
      <c r="Q206" s="21">
        <v>2327.64</v>
      </c>
      <c r="R206" s="21">
        <v>2262.91</v>
      </c>
      <c r="S206" s="21">
        <v>2264.35</v>
      </c>
    </row>
    <row r="207" spans="1:19" x14ac:dyDescent="0.2">
      <c r="A207" s="1" t="s">
        <v>417</v>
      </c>
      <c r="B207" s="1" t="s">
        <v>418</v>
      </c>
      <c r="C207" s="9">
        <v>0</v>
      </c>
      <c r="D207" s="9">
        <v>0</v>
      </c>
      <c r="E207" s="9">
        <v>73</v>
      </c>
      <c r="F207" s="9">
        <f t="shared" si="3"/>
        <v>73</v>
      </c>
      <c r="H207" s="10">
        <v>0</v>
      </c>
      <c r="I207" s="10">
        <v>0</v>
      </c>
      <c r="J207" s="10">
        <v>182.12</v>
      </c>
      <c r="K207" s="10">
        <v>182.12</v>
      </c>
      <c r="M207" s="10">
        <v>0</v>
      </c>
      <c r="N207" s="10">
        <v>299.16654</v>
      </c>
      <c r="O207" s="10">
        <v>299.16654</v>
      </c>
      <c r="Q207" s="21">
        <v>0</v>
      </c>
      <c r="R207" s="21">
        <v>1652.03</v>
      </c>
      <c r="S207" s="21">
        <v>1652.03</v>
      </c>
    </row>
    <row r="208" spans="1:19" x14ac:dyDescent="0.2">
      <c r="A208" s="1" t="s">
        <v>419</v>
      </c>
      <c r="B208" s="1" t="s">
        <v>420</v>
      </c>
      <c r="C208" s="9">
        <v>3</v>
      </c>
      <c r="D208" s="9">
        <v>0</v>
      </c>
      <c r="E208" s="9">
        <v>37</v>
      </c>
      <c r="F208" s="9">
        <f t="shared" si="3"/>
        <v>40</v>
      </c>
      <c r="H208" s="10">
        <v>216</v>
      </c>
      <c r="I208" s="10">
        <v>0</v>
      </c>
      <c r="J208" s="10">
        <v>151.68</v>
      </c>
      <c r="K208" s="10">
        <v>156.44</v>
      </c>
      <c r="M208" s="10">
        <v>251</v>
      </c>
      <c r="N208" s="10">
        <v>168.31720999999999</v>
      </c>
      <c r="O208" s="10">
        <v>174.67742000000001</v>
      </c>
      <c r="Q208" s="21">
        <v>1250.06</v>
      </c>
      <c r="R208" s="21">
        <v>1136.1300000000001</v>
      </c>
      <c r="S208" s="21">
        <v>1144.8900000000001</v>
      </c>
    </row>
    <row r="209" spans="1:19" x14ac:dyDescent="0.2">
      <c r="A209" s="1" t="s">
        <v>421</v>
      </c>
      <c r="B209" s="1" t="s">
        <v>422</v>
      </c>
      <c r="C209" s="9">
        <v>63</v>
      </c>
      <c r="D209" s="9">
        <v>13</v>
      </c>
      <c r="E209" s="9">
        <v>261</v>
      </c>
      <c r="F209" s="9">
        <f t="shared" si="3"/>
        <v>337</v>
      </c>
      <c r="H209" s="10">
        <v>92.12</v>
      </c>
      <c r="I209" s="10">
        <v>82.91</v>
      </c>
      <c r="J209" s="10">
        <v>96.4</v>
      </c>
      <c r="K209" s="10">
        <v>95.12</v>
      </c>
      <c r="M209" s="10">
        <v>128.54658000000001</v>
      </c>
      <c r="N209" s="10">
        <v>115.10514999999999</v>
      </c>
      <c r="O209" s="10">
        <v>118.05193</v>
      </c>
      <c r="Q209" s="21">
        <v>1464.38</v>
      </c>
      <c r="R209" s="21">
        <v>1245.1500000000001</v>
      </c>
      <c r="S209" s="21">
        <v>1293.21</v>
      </c>
    </row>
    <row r="210" spans="1:19" x14ac:dyDescent="0.2">
      <c r="A210" s="1" t="s">
        <v>423</v>
      </c>
      <c r="B210" s="1" t="s">
        <v>424</v>
      </c>
      <c r="C210" s="9">
        <v>10</v>
      </c>
      <c r="D210" s="9">
        <v>1</v>
      </c>
      <c r="E210" s="9">
        <v>77</v>
      </c>
      <c r="F210" s="9">
        <f t="shared" si="3"/>
        <v>88</v>
      </c>
      <c r="H210" s="10">
        <v>113.33</v>
      </c>
      <c r="I210" s="10">
        <v>90</v>
      </c>
      <c r="J210" s="10">
        <v>92.94</v>
      </c>
      <c r="K210" s="10">
        <v>95.23</v>
      </c>
      <c r="M210" s="10">
        <v>65.733329999999995</v>
      </c>
      <c r="N210" s="10">
        <v>73.727869999999996</v>
      </c>
      <c r="O210" s="10">
        <v>72.793440000000004</v>
      </c>
      <c r="Q210" s="21">
        <v>718.58</v>
      </c>
      <c r="R210" s="21">
        <v>849.64</v>
      </c>
      <c r="S210" s="21">
        <v>834.32</v>
      </c>
    </row>
    <row r="211" spans="1:19" x14ac:dyDescent="0.2">
      <c r="A211" s="1" t="s">
        <v>425</v>
      </c>
      <c r="B211" s="1" t="s">
        <v>426</v>
      </c>
      <c r="C211" s="9">
        <v>8</v>
      </c>
      <c r="D211" s="9">
        <v>0</v>
      </c>
      <c r="E211" s="9">
        <v>33</v>
      </c>
      <c r="F211" s="9">
        <f t="shared" si="3"/>
        <v>41</v>
      </c>
      <c r="H211" s="10">
        <v>124.25</v>
      </c>
      <c r="I211" s="10">
        <v>0</v>
      </c>
      <c r="J211" s="10">
        <v>164.42</v>
      </c>
      <c r="K211" s="10">
        <v>159.06</v>
      </c>
      <c r="M211" s="10">
        <v>183.25</v>
      </c>
      <c r="N211" s="10">
        <v>252.83173000000002</v>
      </c>
      <c r="O211" s="10">
        <v>243.55417</v>
      </c>
      <c r="Q211" s="21">
        <v>1694.07</v>
      </c>
      <c r="R211" s="21">
        <v>1683.57</v>
      </c>
      <c r="S211" s="21">
        <v>1684.97</v>
      </c>
    </row>
    <row r="212" spans="1:19" x14ac:dyDescent="0.2">
      <c r="A212" s="1" t="s">
        <v>427</v>
      </c>
      <c r="B212" s="1" t="s">
        <v>428</v>
      </c>
      <c r="C212" s="9">
        <v>47</v>
      </c>
      <c r="D212" s="9">
        <v>1</v>
      </c>
      <c r="E212" s="9">
        <v>972</v>
      </c>
      <c r="F212" s="9">
        <f t="shared" si="3"/>
        <v>1020</v>
      </c>
      <c r="H212" s="10">
        <v>81.55</v>
      </c>
      <c r="I212" s="10">
        <v>60</v>
      </c>
      <c r="J212" s="10">
        <v>83.95</v>
      </c>
      <c r="K212" s="10">
        <v>83.82</v>
      </c>
      <c r="M212" s="10">
        <v>179.84602999999998</v>
      </c>
      <c r="N212" s="10">
        <v>151.16422</v>
      </c>
      <c r="O212" s="10">
        <v>152.39576</v>
      </c>
      <c r="Q212" s="21">
        <v>2483.09</v>
      </c>
      <c r="R212" s="21">
        <v>2038.35</v>
      </c>
      <c r="S212" s="21">
        <v>2057.4499999999998</v>
      </c>
    </row>
    <row r="213" spans="1:19" x14ac:dyDescent="0.2">
      <c r="A213" s="1" t="s">
        <v>429</v>
      </c>
      <c r="B213" s="1" t="s">
        <v>430</v>
      </c>
      <c r="C213" s="9">
        <v>3</v>
      </c>
      <c r="D213" s="9">
        <v>0</v>
      </c>
      <c r="E213" s="9">
        <v>372</v>
      </c>
      <c r="F213" s="9">
        <f t="shared" si="3"/>
        <v>375</v>
      </c>
      <c r="H213" s="10">
        <v>21</v>
      </c>
      <c r="I213" s="10">
        <v>0</v>
      </c>
      <c r="J213" s="10">
        <v>69.12</v>
      </c>
      <c r="K213" s="10">
        <v>68.98</v>
      </c>
      <c r="M213" s="10">
        <v>72</v>
      </c>
      <c r="N213" s="10">
        <v>135.08779999999999</v>
      </c>
      <c r="O213" s="10">
        <v>134.89487</v>
      </c>
      <c r="Q213" s="21">
        <v>3428.57</v>
      </c>
      <c r="R213" s="21">
        <v>2053.5300000000002</v>
      </c>
      <c r="S213" s="21">
        <v>2057.7399999999998</v>
      </c>
    </row>
    <row r="214" spans="1:19" x14ac:dyDescent="0.2">
      <c r="A214" s="1" t="s">
        <v>431</v>
      </c>
      <c r="B214" s="1" t="s">
        <v>432</v>
      </c>
      <c r="C214" s="9">
        <v>2</v>
      </c>
      <c r="D214" s="9">
        <v>0</v>
      </c>
      <c r="E214" s="9">
        <v>81</v>
      </c>
      <c r="F214" s="9">
        <f t="shared" si="3"/>
        <v>83</v>
      </c>
      <c r="H214" s="10">
        <v>80</v>
      </c>
      <c r="I214" s="10">
        <v>0</v>
      </c>
      <c r="J214" s="10">
        <v>129.57</v>
      </c>
      <c r="K214" s="10">
        <v>128.32</v>
      </c>
      <c r="M214" s="10">
        <v>0</v>
      </c>
      <c r="N214" s="10">
        <v>263.66073</v>
      </c>
      <c r="O214" s="10">
        <v>258.96046000000001</v>
      </c>
      <c r="Q214" s="21">
        <v>0</v>
      </c>
      <c r="R214" s="21">
        <v>2165.85</v>
      </c>
      <c r="S214" s="21">
        <v>2135.6999999999998</v>
      </c>
    </row>
    <row r="215" spans="1:19" x14ac:dyDescent="0.2">
      <c r="A215" s="1" t="s">
        <v>433</v>
      </c>
      <c r="B215" s="1" t="s">
        <v>434</v>
      </c>
      <c r="C215" s="9">
        <v>24</v>
      </c>
      <c r="D215" s="9">
        <v>0</v>
      </c>
      <c r="E215" s="9">
        <v>186</v>
      </c>
      <c r="F215" s="9">
        <f t="shared" si="3"/>
        <v>210</v>
      </c>
      <c r="H215" s="10">
        <v>79.569999999999993</v>
      </c>
      <c r="I215" s="10">
        <v>0</v>
      </c>
      <c r="J215" s="10">
        <v>103.04</v>
      </c>
      <c r="K215" s="10">
        <v>100.59</v>
      </c>
      <c r="M215" s="10">
        <v>249.89669000000001</v>
      </c>
      <c r="N215" s="10">
        <v>274.56602000000004</v>
      </c>
      <c r="O215" s="10">
        <v>271.96271999999999</v>
      </c>
      <c r="Q215" s="21">
        <v>3154.66</v>
      </c>
      <c r="R215" s="21">
        <v>2871.51</v>
      </c>
      <c r="S215" s="21">
        <v>2901.39</v>
      </c>
    </row>
    <row r="216" spans="1:19" s="19" customFormat="1" x14ac:dyDescent="0.2">
      <c r="A216" s="15"/>
      <c r="B216" s="16" t="s">
        <v>11</v>
      </c>
      <c r="C216" s="15">
        <v>1294</v>
      </c>
      <c r="D216" s="15">
        <v>26</v>
      </c>
      <c r="E216" s="15">
        <v>5720</v>
      </c>
      <c r="F216" s="17">
        <f>SUM(C216:E216)</f>
        <v>7040</v>
      </c>
      <c r="G216" s="15"/>
      <c r="H216" s="18">
        <v>124.49</v>
      </c>
      <c r="I216" s="18">
        <v>82.59</v>
      </c>
      <c r="J216" s="18">
        <v>119.03</v>
      </c>
      <c r="K216" s="18">
        <v>119.86</v>
      </c>
      <c r="L216" s="15"/>
      <c r="M216" s="18">
        <v>155.27672000000001</v>
      </c>
      <c r="N216" s="18">
        <v>152.81251999999998</v>
      </c>
      <c r="O216" s="18">
        <v>153.24984000000001</v>
      </c>
      <c r="P216" s="15"/>
      <c r="Q216" s="20">
        <v>1326.32</v>
      </c>
      <c r="R216" s="20">
        <v>1369.49</v>
      </c>
      <c r="S216" s="20">
        <v>1361.83</v>
      </c>
    </row>
    <row r="218" spans="1:19" x14ac:dyDescent="0.2">
      <c r="B218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256" width="11.42578125" style="1"/>
    <col min="257" max="257" width="11.42578125" style="1" customWidth="1"/>
    <col min="258" max="258" width="35.7109375" style="1" customWidth="1"/>
    <col min="259" max="262" width="10.7109375" style="1" customWidth="1"/>
    <col min="263" max="263" width="2.7109375" style="1" customWidth="1"/>
    <col min="264" max="267" width="10.7109375" style="1" customWidth="1"/>
    <col min="268" max="268" width="2.7109375" style="1" customWidth="1"/>
    <col min="269" max="271" width="10.7109375" style="1" customWidth="1"/>
    <col min="272" max="272" width="2.7109375" style="1" customWidth="1"/>
    <col min="273" max="275" width="10.7109375" style="1" customWidth="1"/>
    <col min="276" max="512" width="11.42578125" style="1"/>
    <col min="513" max="513" width="11.42578125" style="1" customWidth="1"/>
    <col min="514" max="514" width="35.7109375" style="1" customWidth="1"/>
    <col min="515" max="518" width="10.7109375" style="1" customWidth="1"/>
    <col min="519" max="519" width="2.7109375" style="1" customWidth="1"/>
    <col min="520" max="523" width="10.7109375" style="1" customWidth="1"/>
    <col min="524" max="524" width="2.7109375" style="1" customWidth="1"/>
    <col min="525" max="527" width="10.7109375" style="1" customWidth="1"/>
    <col min="528" max="528" width="2.7109375" style="1" customWidth="1"/>
    <col min="529" max="531" width="10.7109375" style="1" customWidth="1"/>
    <col min="532" max="768" width="11.42578125" style="1"/>
    <col min="769" max="769" width="11.42578125" style="1" customWidth="1"/>
    <col min="770" max="770" width="35.7109375" style="1" customWidth="1"/>
    <col min="771" max="774" width="10.7109375" style="1" customWidth="1"/>
    <col min="775" max="775" width="2.7109375" style="1" customWidth="1"/>
    <col min="776" max="779" width="10.7109375" style="1" customWidth="1"/>
    <col min="780" max="780" width="2.7109375" style="1" customWidth="1"/>
    <col min="781" max="783" width="10.7109375" style="1" customWidth="1"/>
    <col min="784" max="784" width="2.7109375" style="1" customWidth="1"/>
    <col min="785" max="787" width="10.7109375" style="1" customWidth="1"/>
    <col min="788" max="1024" width="11.42578125" style="1"/>
    <col min="1025" max="1025" width="11.42578125" style="1" customWidth="1"/>
    <col min="1026" max="1026" width="35.7109375" style="1" customWidth="1"/>
    <col min="1027" max="1030" width="10.7109375" style="1" customWidth="1"/>
    <col min="1031" max="1031" width="2.7109375" style="1" customWidth="1"/>
    <col min="1032" max="1035" width="10.7109375" style="1" customWidth="1"/>
    <col min="1036" max="1036" width="2.7109375" style="1" customWidth="1"/>
    <col min="1037" max="1039" width="10.7109375" style="1" customWidth="1"/>
    <col min="1040" max="1040" width="2.7109375" style="1" customWidth="1"/>
    <col min="1041" max="1043" width="10.7109375" style="1" customWidth="1"/>
    <col min="1044" max="1280" width="11.42578125" style="1"/>
    <col min="1281" max="1281" width="11.42578125" style="1" customWidth="1"/>
    <col min="1282" max="1282" width="35.7109375" style="1" customWidth="1"/>
    <col min="1283" max="1286" width="10.7109375" style="1" customWidth="1"/>
    <col min="1287" max="1287" width="2.7109375" style="1" customWidth="1"/>
    <col min="1288" max="1291" width="10.7109375" style="1" customWidth="1"/>
    <col min="1292" max="1292" width="2.7109375" style="1" customWidth="1"/>
    <col min="1293" max="1295" width="10.7109375" style="1" customWidth="1"/>
    <col min="1296" max="1296" width="2.7109375" style="1" customWidth="1"/>
    <col min="1297" max="1299" width="10.7109375" style="1" customWidth="1"/>
    <col min="1300" max="1536" width="11.42578125" style="1"/>
    <col min="1537" max="1537" width="11.42578125" style="1" customWidth="1"/>
    <col min="1538" max="1538" width="35.7109375" style="1" customWidth="1"/>
    <col min="1539" max="1542" width="10.7109375" style="1" customWidth="1"/>
    <col min="1543" max="1543" width="2.7109375" style="1" customWidth="1"/>
    <col min="1544" max="1547" width="10.7109375" style="1" customWidth="1"/>
    <col min="1548" max="1548" width="2.7109375" style="1" customWidth="1"/>
    <col min="1549" max="1551" width="10.7109375" style="1" customWidth="1"/>
    <col min="1552" max="1552" width="2.7109375" style="1" customWidth="1"/>
    <col min="1553" max="1555" width="10.7109375" style="1" customWidth="1"/>
    <col min="1556" max="1792" width="11.42578125" style="1"/>
    <col min="1793" max="1793" width="11.42578125" style="1" customWidth="1"/>
    <col min="1794" max="1794" width="35.7109375" style="1" customWidth="1"/>
    <col min="1795" max="1798" width="10.7109375" style="1" customWidth="1"/>
    <col min="1799" max="1799" width="2.7109375" style="1" customWidth="1"/>
    <col min="1800" max="1803" width="10.7109375" style="1" customWidth="1"/>
    <col min="1804" max="1804" width="2.7109375" style="1" customWidth="1"/>
    <col min="1805" max="1807" width="10.7109375" style="1" customWidth="1"/>
    <col min="1808" max="1808" width="2.7109375" style="1" customWidth="1"/>
    <col min="1809" max="1811" width="10.7109375" style="1" customWidth="1"/>
    <col min="1812" max="2048" width="11.42578125" style="1"/>
    <col min="2049" max="2049" width="11.42578125" style="1" customWidth="1"/>
    <col min="2050" max="2050" width="35.7109375" style="1" customWidth="1"/>
    <col min="2051" max="2054" width="10.7109375" style="1" customWidth="1"/>
    <col min="2055" max="2055" width="2.7109375" style="1" customWidth="1"/>
    <col min="2056" max="2059" width="10.7109375" style="1" customWidth="1"/>
    <col min="2060" max="2060" width="2.7109375" style="1" customWidth="1"/>
    <col min="2061" max="2063" width="10.7109375" style="1" customWidth="1"/>
    <col min="2064" max="2064" width="2.7109375" style="1" customWidth="1"/>
    <col min="2065" max="2067" width="10.7109375" style="1" customWidth="1"/>
    <col min="2068" max="2304" width="11.42578125" style="1"/>
    <col min="2305" max="2305" width="11.42578125" style="1" customWidth="1"/>
    <col min="2306" max="2306" width="35.7109375" style="1" customWidth="1"/>
    <col min="2307" max="2310" width="10.7109375" style="1" customWidth="1"/>
    <col min="2311" max="2311" width="2.7109375" style="1" customWidth="1"/>
    <col min="2312" max="2315" width="10.7109375" style="1" customWidth="1"/>
    <col min="2316" max="2316" width="2.7109375" style="1" customWidth="1"/>
    <col min="2317" max="2319" width="10.7109375" style="1" customWidth="1"/>
    <col min="2320" max="2320" width="2.7109375" style="1" customWidth="1"/>
    <col min="2321" max="2323" width="10.7109375" style="1" customWidth="1"/>
    <col min="2324" max="2560" width="11.42578125" style="1"/>
    <col min="2561" max="2561" width="11.42578125" style="1" customWidth="1"/>
    <col min="2562" max="2562" width="35.7109375" style="1" customWidth="1"/>
    <col min="2563" max="2566" width="10.7109375" style="1" customWidth="1"/>
    <col min="2567" max="2567" width="2.7109375" style="1" customWidth="1"/>
    <col min="2568" max="2571" width="10.7109375" style="1" customWidth="1"/>
    <col min="2572" max="2572" width="2.7109375" style="1" customWidth="1"/>
    <col min="2573" max="2575" width="10.7109375" style="1" customWidth="1"/>
    <col min="2576" max="2576" width="2.7109375" style="1" customWidth="1"/>
    <col min="2577" max="2579" width="10.7109375" style="1" customWidth="1"/>
    <col min="2580" max="2816" width="11.42578125" style="1"/>
    <col min="2817" max="2817" width="11.42578125" style="1" customWidth="1"/>
    <col min="2818" max="2818" width="35.7109375" style="1" customWidth="1"/>
    <col min="2819" max="2822" width="10.7109375" style="1" customWidth="1"/>
    <col min="2823" max="2823" width="2.7109375" style="1" customWidth="1"/>
    <col min="2824" max="2827" width="10.7109375" style="1" customWidth="1"/>
    <col min="2828" max="2828" width="2.7109375" style="1" customWidth="1"/>
    <col min="2829" max="2831" width="10.7109375" style="1" customWidth="1"/>
    <col min="2832" max="2832" width="2.7109375" style="1" customWidth="1"/>
    <col min="2833" max="2835" width="10.7109375" style="1" customWidth="1"/>
    <col min="2836" max="3072" width="11.42578125" style="1"/>
    <col min="3073" max="3073" width="11.42578125" style="1" customWidth="1"/>
    <col min="3074" max="3074" width="35.7109375" style="1" customWidth="1"/>
    <col min="3075" max="3078" width="10.7109375" style="1" customWidth="1"/>
    <col min="3079" max="3079" width="2.7109375" style="1" customWidth="1"/>
    <col min="3080" max="3083" width="10.7109375" style="1" customWidth="1"/>
    <col min="3084" max="3084" width="2.7109375" style="1" customWidth="1"/>
    <col min="3085" max="3087" width="10.7109375" style="1" customWidth="1"/>
    <col min="3088" max="3088" width="2.7109375" style="1" customWidth="1"/>
    <col min="3089" max="3091" width="10.7109375" style="1" customWidth="1"/>
    <col min="3092" max="3328" width="11.42578125" style="1"/>
    <col min="3329" max="3329" width="11.42578125" style="1" customWidth="1"/>
    <col min="3330" max="3330" width="35.7109375" style="1" customWidth="1"/>
    <col min="3331" max="3334" width="10.7109375" style="1" customWidth="1"/>
    <col min="3335" max="3335" width="2.7109375" style="1" customWidth="1"/>
    <col min="3336" max="3339" width="10.7109375" style="1" customWidth="1"/>
    <col min="3340" max="3340" width="2.7109375" style="1" customWidth="1"/>
    <col min="3341" max="3343" width="10.7109375" style="1" customWidth="1"/>
    <col min="3344" max="3344" width="2.7109375" style="1" customWidth="1"/>
    <col min="3345" max="3347" width="10.7109375" style="1" customWidth="1"/>
    <col min="3348" max="3584" width="11.42578125" style="1"/>
    <col min="3585" max="3585" width="11.42578125" style="1" customWidth="1"/>
    <col min="3586" max="3586" width="35.7109375" style="1" customWidth="1"/>
    <col min="3587" max="3590" width="10.7109375" style="1" customWidth="1"/>
    <col min="3591" max="3591" width="2.7109375" style="1" customWidth="1"/>
    <col min="3592" max="3595" width="10.7109375" style="1" customWidth="1"/>
    <col min="3596" max="3596" width="2.7109375" style="1" customWidth="1"/>
    <col min="3597" max="3599" width="10.7109375" style="1" customWidth="1"/>
    <col min="3600" max="3600" width="2.7109375" style="1" customWidth="1"/>
    <col min="3601" max="3603" width="10.7109375" style="1" customWidth="1"/>
    <col min="3604" max="3840" width="11.42578125" style="1"/>
    <col min="3841" max="3841" width="11.42578125" style="1" customWidth="1"/>
    <col min="3842" max="3842" width="35.7109375" style="1" customWidth="1"/>
    <col min="3843" max="3846" width="10.7109375" style="1" customWidth="1"/>
    <col min="3847" max="3847" width="2.7109375" style="1" customWidth="1"/>
    <col min="3848" max="3851" width="10.7109375" style="1" customWidth="1"/>
    <col min="3852" max="3852" width="2.7109375" style="1" customWidth="1"/>
    <col min="3853" max="3855" width="10.7109375" style="1" customWidth="1"/>
    <col min="3856" max="3856" width="2.7109375" style="1" customWidth="1"/>
    <col min="3857" max="3859" width="10.7109375" style="1" customWidth="1"/>
    <col min="3860" max="4096" width="11.42578125" style="1"/>
    <col min="4097" max="4097" width="11.42578125" style="1" customWidth="1"/>
    <col min="4098" max="4098" width="35.7109375" style="1" customWidth="1"/>
    <col min="4099" max="4102" width="10.7109375" style="1" customWidth="1"/>
    <col min="4103" max="4103" width="2.7109375" style="1" customWidth="1"/>
    <col min="4104" max="4107" width="10.7109375" style="1" customWidth="1"/>
    <col min="4108" max="4108" width="2.7109375" style="1" customWidth="1"/>
    <col min="4109" max="4111" width="10.7109375" style="1" customWidth="1"/>
    <col min="4112" max="4112" width="2.7109375" style="1" customWidth="1"/>
    <col min="4113" max="4115" width="10.7109375" style="1" customWidth="1"/>
    <col min="4116" max="4352" width="11.42578125" style="1"/>
    <col min="4353" max="4353" width="11.42578125" style="1" customWidth="1"/>
    <col min="4354" max="4354" width="35.7109375" style="1" customWidth="1"/>
    <col min="4355" max="4358" width="10.7109375" style="1" customWidth="1"/>
    <col min="4359" max="4359" width="2.7109375" style="1" customWidth="1"/>
    <col min="4360" max="4363" width="10.7109375" style="1" customWidth="1"/>
    <col min="4364" max="4364" width="2.7109375" style="1" customWidth="1"/>
    <col min="4365" max="4367" width="10.7109375" style="1" customWidth="1"/>
    <col min="4368" max="4368" width="2.7109375" style="1" customWidth="1"/>
    <col min="4369" max="4371" width="10.7109375" style="1" customWidth="1"/>
    <col min="4372" max="4608" width="11.42578125" style="1"/>
    <col min="4609" max="4609" width="11.42578125" style="1" customWidth="1"/>
    <col min="4610" max="4610" width="35.7109375" style="1" customWidth="1"/>
    <col min="4611" max="4614" width="10.7109375" style="1" customWidth="1"/>
    <col min="4615" max="4615" width="2.7109375" style="1" customWidth="1"/>
    <col min="4616" max="4619" width="10.7109375" style="1" customWidth="1"/>
    <col min="4620" max="4620" width="2.7109375" style="1" customWidth="1"/>
    <col min="4621" max="4623" width="10.7109375" style="1" customWidth="1"/>
    <col min="4624" max="4624" width="2.7109375" style="1" customWidth="1"/>
    <col min="4625" max="4627" width="10.7109375" style="1" customWidth="1"/>
    <col min="4628" max="4864" width="11.42578125" style="1"/>
    <col min="4865" max="4865" width="11.42578125" style="1" customWidth="1"/>
    <col min="4866" max="4866" width="35.7109375" style="1" customWidth="1"/>
    <col min="4867" max="4870" width="10.7109375" style="1" customWidth="1"/>
    <col min="4871" max="4871" width="2.7109375" style="1" customWidth="1"/>
    <col min="4872" max="4875" width="10.7109375" style="1" customWidth="1"/>
    <col min="4876" max="4876" width="2.7109375" style="1" customWidth="1"/>
    <col min="4877" max="4879" width="10.7109375" style="1" customWidth="1"/>
    <col min="4880" max="4880" width="2.7109375" style="1" customWidth="1"/>
    <col min="4881" max="4883" width="10.7109375" style="1" customWidth="1"/>
    <col min="4884" max="5120" width="11.42578125" style="1"/>
    <col min="5121" max="5121" width="11.42578125" style="1" customWidth="1"/>
    <col min="5122" max="5122" width="35.7109375" style="1" customWidth="1"/>
    <col min="5123" max="5126" width="10.7109375" style="1" customWidth="1"/>
    <col min="5127" max="5127" width="2.7109375" style="1" customWidth="1"/>
    <col min="5128" max="5131" width="10.7109375" style="1" customWidth="1"/>
    <col min="5132" max="5132" width="2.7109375" style="1" customWidth="1"/>
    <col min="5133" max="5135" width="10.7109375" style="1" customWidth="1"/>
    <col min="5136" max="5136" width="2.7109375" style="1" customWidth="1"/>
    <col min="5137" max="5139" width="10.7109375" style="1" customWidth="1"/>
    <col min="5140" max="5376" width="11.42578125" style="1"/>
    <col min="5377" max="5377" width="11.42578125" style="1" customWidth="1"/>
    <col min="5378" max="5378" width="35.7109375" style="1" customWidth="1"/>
    <col min="5379" max="5382" width="10.7109375" style="1" customWidth="1"/>
    <col min="5383" max="5383" width="2.7109375" style="1" customWidth="1"/>
    <col min="5384" max="5387" width="10.7109375" style="1" customWidth="1"/>
    <col min="5388" max="5388" width="2.7109375" style="1" customWidth="1"/>
    <col min="5389" max="5391" width="10.7109375" style="1" customWidth="1"/>
    <col min="5392" max="5392" width="2.7109375" style="1" customWidth="1"/>
    <col min="5393" max="5395" width="10.7109375" style="1" customWidth="1"/>
    <col min="5396" max="5632" width="11.42578125" style="1"/>
    <col min="5633" max="5633" width="11.42578125" style="1" customWidth="1"/>
    <col min="5634" max="5634" width="35.7109375" style="1" customWidth="1"/>
    <col min="5635" max="5638" width="10.7109375" style="1" customWidth="1"/>
    <col min="5639" max="5639" width="2.7109375" style="1" customWidth="1"/>
    <col min="5640" max="5643" width="10.7109375" style="1" customWidth="1"/>
    <col min="5644" max="5644" width="2.7109375" style="1" customWidth="1"/>
    <col min="5645" max="5647" width="10.7109375" style="1" customWidth="1"/>
    <col min="5648" max="5648" width="2.7109375" style="1" customWidth="1"/>
    <col min="5649" max="5651" width="10.7109375" style="1" customWidth="1"/>
    <col min="5652" max="5888" width="11.42578125" style="1"/>
    <col min="5889" max="5889" width="11.42578125" style="1" customWidth="1"/>
    <col min="5890" max="5890" width="35.7109375" style="1" customWidth="1"/>
    <col min="5891" max="5894" width="10.7109375" style="1" customWidth="1"/>
    <col min="5895" max="5895" width="2.7109375" style="1" customWidth="1"/>
    <col min="5896" max="5899" width="10.7109375" style="1" customWidth="1"/>
    <col min="5900" max="5900" width="2.7109375" style="1" customWidth="1"/>
    <col min="5901" max="5903" width="10.7109375" style="1" customWidth="1"/>
    <col min="5904" max="5904" width="2.7109375" style="1" customWidth="1"/>
    <col min="5905" max="5907" width="10.7109375" style="1" customWidth="1"/>
    <col min="5908" max="6144" width="11.42578125" style="1"/>
    <col min="6145" max="6145" width="11.42578125" style="1" customWidth="1"/>
    <col min="6146" max="6146" width="35.7109375" style="1" customWidth="1"/>
    <col min="6147" max="6150" width="10.7109375" style="1" customWidth="1"/>
    <col min="6151" max="6151" width="2.7109375" style="1" customWidth="1"/>
    <col min="6152" max="6155" width="10.7109375" style="1" customWidth="1"/>
    <col min="6156" max="6156" width="2.7109375" style="1" customWidth="1"/>
    <col min="6157" max="6159" width="10.7109375" style="1" customWidth="1"/>
    <col min="6160" max="6160" width="2.7109375" style="1" customWidth="1"/>
    <col min="6161" max="6163" width="10.7109375" style="1" customWidth="1"/>
    <col min="6164" max="6400" width="11.42578125" style="1"/>
    <col min="6401" max="6401" width="11.42578125" style="1" customWidth="1"/>
    <col min="6402" max="6402" width="35.7109375" style="1" customWidth="1"/>
    <col min="6403" max="6406" width="10.7109375" style="1" customWidth="1"/>
    <col min="6407" max="6407" width="2.7109375" style="1" customWidth="1"/>
    <col min="6408" max="6411" width="10.7109375" style="1" customWidth="1"/>
    <col min="6412" max="6412" width="2.7109375" style="1" customWidth="1"/>
    <col min="6413" max="6415" width="10.7109375" style="1" customWidth="1"/>
    <col min="6416" max="6416" width="2.7109375" style="1" customWidth="1"/>
    <col min="6417" max="6419" width="10.7109375" style="1" customWidth="1"/>
    <col min="6420" max="6656" width="11.42578125" style="1"/>
    <col min="6657" max="6657" width="11.42578125" style="1" customWidth="1"/>
    <col min="6658" max="6658" width="35.7109375" style="1" customWidth="1"/>
    <col min="6659" max="6662" width="10.7109375" style="1" customWidth="1"/>
    <col min="6663" max="6663" width="2.7109375" style="1" customWidth="1"/>
    <col min="6664" max="6667" width="10.7109375" style="1" customWidth="1"/>
    <col min="6668" max="6668" width="2.7109375" style="1" customWidth="1"/>
    <col min="6669" max="6671" width="10.7109375" style="1" customWidth="1"/>
    <col min="6672" max="6672" width="2.7109375" style="1" customWidth="1"/>
    <col min="6673" max="6675" width="10.7109375" style="1" customWidth="1"/>
    <col min="6676" max="6912" width="11.42578125" style="1"/>
    <col min="6913" max="6913" width="11.42578125" style="1" customWidth="1"/>
    <col min="6914" max="6914" width="35.7109375" style="1" customWidth="1"/>
    <col min="6915" max="6918" width="10.7109375" style="1" customWidth="1"/>
    <col min="6919" max="6919" width="2.7109375" style="1" customWidth="1"/>
    <col min="6920" max="6923" width="10.7109375" style="1" customWidth="1"/>
    <col min="6924" max="6924" width="2.7109375" style="1" customWidth="1"/>
    <col min="6925" max="6927" width="10.7109375" style="1" customWidth="1"/>
    <col min="6928" max="6928" width="2.7109375" style="1" customWidth="1"/>
    <col min="6929" max="6931" width="10.7109375" style="1" customWidth="1"/>
    <col min="6932" max="7168" width="11.42578125" style="1"/>
    <col min="7169" max="7169" width="11.42578125" style="1" customWidth="1"/>
    <col min="7170" max="7170" width="35.7109375" style="1" customWidth="1"/>
    <col min="7171" max="7174" width="10.7109375" style="1" customWidth="1"/>
    <col min="7175" max="7175" width="2.7109375" style="1" customWidth="1"/>
    <col min="7176" max="7179" width="10.7109375" style="1" customWidth="1"/>
    <col min="7180" max="7180" width="2.7109375" style="1" customWidth="1"/>
    <col min="7181" max="7183" width="10.7109375" style="1" customWidth="1"/>
    <col min="7184" max="7184" width="2.7109375" style="1" customWidth="1"/>
    <col min="7185" max="7187" width="10.7109375" style="1" customWidth="1"/>
    <col min="7188" max="7424" width="11.42578125" style="1"/>
    <col min="7425" max="7425" width="11.42578125" style="1" customWidth="1"/>
    <col min="7426" max="7426" width="35.7109375" style="1" customWidth="1"/>
    <col min="7427" max="7430" width="10.7109375" style="1" customWidth="1"/>
    <col min="7431" max="7431" width="2.7109375" style="1" customWidth="1"/>
    <col min="7432" max="7435" width="10.7109375" style="1" customWidth="1"/>
    <col min="7436" max="7436" width="2.7109375" style="1" customWidth="1"/>
    <col min="7437" max="7439" width="10.7109375" style="1" customWidth="1"/>
    <col min="7440" max="7440" width="2.7109375" style="1" customWidth="1"/>
    <col min="7441" max="7443" width="10.7109375" style="1" customWidth="1"/>
    <col min="7444" max="7680" width="11.42578125" style="1"/>
    <col min="7681" max="7681" width="11.42578125" style="1" customWidth="1"/>
    <col min="7682" max="7682" width="35.7109375" style="1" customWidth="1"/>
    <col min="7683" max="7686" width="10.7109375" style="1" customWidth="1"/>
    <col min="7687" max="7687" width="2.7109375" style="1" customWidth="1"/>
    <col min="7688" max="7691" width="10.7109375" style="1" customWidth="1"/>
    <col min="7692" max="7692" width="2.7109375" style="1" customWidth="1"/>
    <col min="7693" max="7695" width="10.7109375" style="1" customWidth="1"/>
    <col min="7696" max="7696" width="2.7109375" style="1" customWidth="1"/>
    <col min="7697" max="7699" width="10.7109375" style="1" customWidth="1"/>
    <col min="7700" max="7936" width="11.42578125" style="1"/>
    <col min="7937" max="7937" width="11.42578125" style="1" customWidth="1"/>
    <col min="7938" max="7938" width="35.7109375" style="1" customWidth="1"/>
    <col min="7939" max="7942" width="10.7109375" style="1" customWidth="1"/>
    <col min="7943" max="7943" width="2.7109375" style="1" customWidth="1"/>
    <col min="7944" max="7947" width="10.7109375" style="1" customWidth="1"/>
    <col min="7948" max="7948" width="2.7109375" style="1" customWidth="1"/>
    <col min="7949" max="7951" width="10.7109375" style="1" customWidth="1"/>
    <col min="7952" max="7952" width="2.7109375" style="1" customWidth="1"/>
    <col min="7953" max="7955" width="10.7109375" style="1" customWidth="1"/>
    <col min="7956" max="8192" width="11.42578125" style="1"/>
    <col min="8193" max="8193" width="11.42578125" style="1" customWidth="1"/>
    <col min="8194" max="8194" width="35.7109375" style="1" customWidth="1"/>
    <col min="8195" max="8198" width="10.7109375" style="1" customWidth="1"/>
    <col min="8199" max="8199" width="2.7109375" style="1" customWidth="1"/>
    <col min="8200" max="8203" width="10.7109375" style="1" customWidth="1"/>
    <col min="8204" max="8204" width="2.7109375" style="1" customWidth="1"/>
    <col min="8205" max="8207" width="10.7109375" style="1" customWidth="1"/>
    <col min="8208" max="8208" width="2.7109375" style="1" customWidth="1"/>
    <col min="8209" max="8211" width="10.7109375" style="1" customWidth="1"/>
    <col min="8212" max="8448" width="11.42578125" style="1"/>
    <col min="8449" max="8449" width="11.42578125" style="1" customWidth="1"/>
    <col min="8450" max="8450" width="35.7109375" style="1" customWidth="1"/>
    <col min="8451" max="8454" width="10.7109375" style="1" customWidth="1"/>
    <col min="8455" max="8455" width="2.7109375" style="1" customWidth="1"/>
    <col min="8456" max="8459" width="10.7109375" style="1" customWidth="1"/>
    <col min="8460" max="8460" width="2.7109375" style="1" customWidth="1"/>
    <col min="8461" max="8463" width="10.7109375" style="1" customWidth="1"/>
    <col min="8464" max="8464" width="2.7109375" style="1" customWidth="1"/>
    <col min="8465" max="8467" width="10.7109375" style="1" customWidth="1"/>
    <col min="8468" max="8704" width="11.42578125" style="1"/>
    <col min="8705" max="8705" width="11.42578125" style="1" customWidth="1"/>
    <col min="8706" max="8706" width="35.7109375" style="1" customWidth="1"/>
    <col min="8707" max="8710" width="10.7109375" style="1" customWidth="1"/>
    <col min="8711" max="8711" width="2.7109375" style="1" customWidth="1"/>
    <col min="8712" max="8715" width="10.7109375" style="1" customWidth="1"/>
    <col min="8716" max="8716" width="2.7109375" style="1" customWidth="1"/>
    <col min="8717" max="8719" width="10.7109375" style="1" customWidth="1"/>
    <col min="8720" max="8720" width="2.7109375" style="1" customWidth="1"/>
    <col min="8721" max="8723" width="10.7109375" style="1" customWidth="1"/>
    <col min="8724" max="8960" width="11.42578125" style="1"/>
    <col min="8961" max="8961" width="11.42578125" style="1" customWidth="1"/>
    <col min="8962" max="8962" width="35.7109375" style="1" customWidth="1"/>
    <col min="8963" max="8966" width="10.7109375" style="1" customWidth="1"/>
    <col min="8967" max="8967" width="2.7109375" style="1" customWidth="1"/>
    <col min="8968" max="8971" width="10.7109375" style="1" customWidth="1"/>
    <col min="8972" max="8972" width="2.7109375" style="1" customWidth="1"/>
    <col min="8973" max="8975" width="10.7109375" style="1" customWidth="1"/>
    <col min="8976" max="8976" width="2.7109375" style="1" customWidth="1"/>
    <col min="8977" max="8979" width="10.7109375" style="1" customWidth="1"/>
    <col min="8980" max="9216" width="11.42578125" style="1"/>
    <col min="9217" max="9217" width="11.42578125" style="1" customWidth="1"/>
    <col min="9218" max="9218" width="35.7109375" style="1" customWidth="1"/>
    <col min="9219" max="9222" width="10.7109375" style="1" customWidth="1"/>
    <col min="9223" max="9223" width="2.7109375" style="1" customWidth="1"/>
    <col min="9224" max="9227" width="10.7109375" style="1" customWidth="1"/>
    <col min="9228" max="9228" width="2.7109375" style="1" customWidth="1"/>
    <col min="9229" max="9231" width="10.7109375" style="1" customWidth="1"/>
    <col min="9232" max="9232" width="2.7109375" style="1" customWidth="1"/>
    <col min="9233" max="9235" width="10.7109375" style="1" customWidth="1"/>
    <col min="9236" max="9472" width="11.42578125" style="1"/>
    <col min="9473" max="9473" width="11.42578125" style="1" customWidth="1"/>
    <col min="9474" max="9474" width="35.7109375" style="1" customWidth="1"/>
    <col min="9475" max="9478" width="10.7109375" style="1" customWidth="1"/>
    <col min="9479" max="9479" width="2.7109375" style="1" customWidth="1"/>
    <col min="9480" max="9483" width="10.7109375" style="1" customWidth="1"/>
    <col min="9484" max="9484" width="2.7109375" style="1" customWidth="1"/>
    <col min="9485" max="9487" width="10.7109375" style="1" customWidth="1"/>
    <col min="9488" max="9488" width="2.7109375" style="1" customWidth="1"/>
    <col min="9489" max="9491" width="10.7109375" style="1" customWidth="1"/>
    <col min="9492" max="9728" width="11.42578125" style="1"/>
    <col min="9729" max="9729" width="11.42578125" style="1" customWidth="1"/>
    <col min="9730" max="9730" width="35.7109375" style="1" customWidth="1"/>
    <col min="9731" max="9734" width="10.7109375" style="1" customWidth="1"/>
    <col min="9735" max="9735" width="2.7109375" style="1" customWidth="1"/>
    <col min="9736" max="9739" width="10.7109375" style="1" customWidth="1"/>
    <col min="9740" max="9740" width="2.7109375" style="1" customWidth="1"/>
    <col min="9741" max="9743" width="10.7109375" style="1" customWidth="1"/>
    <col min="9744" max="9744" width="2.7109375" style="1" customWidth="1"/>
    <col min="9745" max="9747" width="10.7109375" style="1" customWidth="1"/>
    <col min="9748" max="9984" width="11.42578125" style="1"/>
    <col min="9985" max="9985" width="11.42578125" style="1" customWidth="1"/>
    <col min="9986" max="9986" width="35.7109375" style="1" customWidth="1"/>
    <col min="9987" max="9990" width="10.7109375" style="1" customWidth="1"/>
    <col min="9991" max="9991" width="2.7109375" style="1" customWidth="1"/>
    <col min="9992" max="9995" width="10.7109375" style="1" customWidth="1"/>
    <col min="9996" max="9996" width="2.7109375" style="1" customWidth="1"/>
    <col min="9997" max="9999" width="10.7109375" style="1" customWidth="1"/>
    <col min="10000" max="10000" width="2.7109375" style="1" customWidth="1"/>
    <col min="10001" max="10003" width="10.7109375" style="1" customWidth="1"/>
    <col min="10004" max="10240" width="11.42578125" style="1"/>
    <col min="10241" max="10241" width="11.42578125" style="1" customWidth="1"/>
    <col min="10242" max="10242" width="35.7109375" style="1" customWidth="1"/>
    <col min="10243" max="10246" width="10.7109375" style="1" customWidth="1"/>
    <col min="10247" max="10247" width="2.7109375" style="1" customWidth="1"/>
    <col min="10248" max="10251" width="10.7109375" style="1" customWidth="1"/>
    <col min="10252" max="10252" width="2.7109375" style="1" customWidth="1"/>
    <col min="10253" max="10255" width="10.7109375" style="1" customWidth="1"/>
    <col min="10256" max="10256" width="2.7109375" style="1" customWidth="1"/>
    <col min="10257" max="10259" width="10.7109375" style="1" customWidth="1"/>
    <col min="10260" max="10496" width="11.42578125" style="1"/>
    <col min="10497" max="10497" width="11.42578125" style="1" customWidth="1"/>
    <col min="10498" max="10498" width="35.7109375" style="1" customWidth="1"/>
    <col min="10499" max="10502" width="10.7109375" style="1" customWidth="1"/>
    <col min="10503" max="10503" width="2.7109375" style="1" customWidth="1"/>
    <col min="10504" max="10507" width="10.7109375" style="1" customWidth="1"/>
    <col min="10508" max="10508" width="2.7109375" style="1" customWidth="1"/>
    <col min="10509" max="10511" width="10.7109375" style="1" customWidth="1"/>
    <col min="10512" max="10512" width="2.7109375" style="1" customWidth="1"/>
    <col min="10513" max="10515" width="10.7109375" style="1" customWidth="1"/>
    <col min="10516" max="10752" width="11.42578125" style="1"/>
    <col min="10753" max="10753" width="11.42578125" style="1" customWidth="1"/>
    <col min="10754" max="10754" width="35.7109375" style="1" customWidth="1"/>
    <col min="10755" max="10758" width="10.7109375" style="1" customWidth="1"/>
    <col min="10759" max="10759" width="2.7109375" style="1" customWidth="1"/>
    <col min="10760" max="10763" width="10.7109375" style="1" customWidth="1"/>
    <col min="10764" max="10764" width="2.7109375" style="1" customWidth="1"/>
    <col min="10765" max="10767" width="10.7109375" style="1" customWidth="1"/>
    <col min="10768" max="10768" width="2.7109375" style="1" customWidth="1"/>
    <col min="10769" max="10771" width="10.7109375" style="1" customWidth="1"/>
    <col min="10772" max="11008" width="11.42578125" style="1"/>
    <col min="11009" max="11009" width="11.42578125" style="1" customWidth="1"/>
    <col min="11010" max="11010" width="35.7109375" style="1" customWidth="1"/>
    <col min="11011" max="11014" width="10.7109375" style="1" customWidth="1"/>
    <col min="11015" max="11015" width="2.7109375" style="1" customWidth="1"/>
    <col min="11016" max="11019" width="10.7109375" style="1" customWidth="1"/>
    <col min="11020" max="11020" width="2.7109375" style="1" customWidth="1"/>
    <col min="11021" max="11023" width="10.7109375" style="1" customWidth="1"/>
    <col min="11024" max="11024" width="2.7109375" style="1" customWidth="1"/>
    <col min="11025" max="11027" width="10.7109375" style="1" customWidth="1"/>
    <col min="11028" max="11264" width="11.42578125" style="1"/>
    <col min="11265" max="11265" width="11.42578125" style="1" customWidth="1"/>
    <col min="11266" max="11266" width="35.7109375" style="1" customWidth="1"/>
    <col min="11267" max="11270" width="10.7109375" style="1" customWidth="1"/>
    <col min="11271" max="11271" width="2.7109375" style="1" customWidth="1"/>
    <col min="11272" max="11275" width="10.7109375" style="1" customWidth="1"/>
    <col min="11276" max="11276" width="2.7109375" style="1" customWidth="1"/>
    <col min="11277" max="11279" width="10.7109375" style="1" customWidth="1"/>
    <col min="11280" max="11280" width="2.7109375" style="1" customWidth="1"/>
    <col min="11281" max="11283" width="10.7109375" style="1" customWidth="1"/>
    <col min="11284" max="11520" width="11.42578125" style="1"/>
    <col min="11521" max="11521" width="11.42578125" style="1" customWidth="1"/>
    <col min="11522" max="11522" width="35.7109375" style="1" customWidth="1"/>
    <col min="11523" max="11526" width="10.7109375" style="1" customWidth="1"/>
    <col min="11527" max="11527" width="2.7109375" style="1" customWidth="1"/>
    <col min="11528" max="11531" width="10.7109375" style="1" customWidth="1"/>
    <col min="11532" max="11532" width="2.7109375" style="1" customWidth="1"/>
    <col min="11533" max="11535" width="10.7109375" style="1" customWidth="1"/>
    <col min="11536" max="11536" width="2.7109375" style="1" customWidth="1"/>
    <col min="11537" max="11539" width="10.7109375" style="1" customWidth="1"/>
    <col min="11540" max="11776" width="11.42578125" style="1"/>
    <col min="11777" max="11777" width="11.42578125" style="1" customWidth="1"/>
    <col min="11778" max="11778" width="35.7109375" style="1" customWidth="1"/>
    <col min="11779" max="11782" width="10.7109375" style="1" customWidth="1"/>
    <col min="11783" max="11783" width="2.7109375" style="1" customWidth="1"/>
    <col min="11784" max="11787" width="10.7109375" style="1" customWidth="1"/>
    <col min="11788" max="11788" width="2.7109375" style="1" customWidth="1"/>
    <col min="11789" max="11791" width="10.7109375" style="1" customWidth="1"/>
    <col min="11792" max="11792" width="2.7109375" style="1" customWidth="1"/>
    <col min="11793" max="11795" width="10.7109375" style="1" customWidth="1"/>
    <col min="11796" max="12032" width="11.42578125" style="1"/>
    <col min="12033" max="12033" width="11.42578125" style="1" customWidth="1"/>
    <col min="12034" max="12034" width="35.7109375" style="1" customWidth="1"/>
    <col min="12035" max="12038" width="10.7109375" style="1" customWidth="1"/>
    <col min="12039" max="12039" width="2.7109375" style="1" customWidth="1"/>
    <col min="12040" max="12043" width="10.7109375" style="1" customWidth="1"/>
    <col min="12044" max="12044" width="2.7109375" style="1" customWidth="1"/>
    <col min="12045" max="12047" width="10.7109375" style="1" customWidth="1"/>
    <col min="12048" max="12048" width="2.7109375" style="1" customWidth="1"/>
    <col min="12049" max="12051" width="10.7109375" style="1" customWidth="1"/>
    <col min="12052" max="12288" width="11.42578125" style="1"/>
    <col min="12289" max="12289" width="11.42578125" style="1" customWidth="1"/>
    <col min="12290" max="12290" width="35.7109375" style="1" customWidth="1"/>
    <col min="12291" max="12294" width="10.7109375" style="1" customWidth="1"/>
    <col min="12295" max="12295" width="2.7109375" style="1" customWidth="1"/>
    <col min="12296" max="12299" width="10.7109375" style="1" customWidth="1"/>
    <col min="12300" max="12300" width="2.7109375" style="1" customWidth="1"/>
    <col min="12301" max="12303" width="10.7109375" style="1" customWidth="1"/>
    <col min="12304" max="12304" width="2.7109375" style="1" customWidth="1"/>
    <col min="12305" max="12307" width="10.7109375" style="1" customWidth="1"/>
    <col min="12308" max="12544" width="11.42578125" style="1"/>
    <col min="12545" max="12545" width="11.42578125" style="1" customWidth="1"/>
    <col min="12546" max="12546" width="35.7109375" style="1" customWidth="1"/>
    <col min="12547" max="12550" width="10.7109375" style="1" customWidth="1"/>
    <col min="12551" max="12551" width="2.7109375" style="1" customWidth="1"/>
    <col min="12552" max="12555" width="10.7109375" style="1" customWidth="1"/>
    <col min="12556" max="12556" width="2.7109375" style="1" customWidth="1"/>
    <col min="12557" max="12559" width="10.7109375" style="1" customWidth="1"/>
    <col min="12560" max="12560" width="2.7109375" style="1" customWidth="1"/>
    <col min="12561" max="12563" width="10.7109375" style="1" customWidth="1"/>
    <col min="12564" max="12800" width="11.42578125" style="1"/>
    <col min="12801" max="12801" width="11.42578125" style="1" customWidth="1"/>
    <col min="12802" max="12802" width="35.7109375" style="1" customWidth="1"/>
    <col min="12803" max="12806" width="10.7109375" style="1" customWidth="1"/>
    <col min="12807" max="12807" width="2.7109375" style="1" customWidth="1"/>
    <col min="12808" max="12811" width="10.7109375" style="1" customWidth="1"/>
    <col min="12812" max="12812" width="2.7109375" style="1" customWidth="1"/>
    <col min="12813" max="12815" width="10.7109375" style="1" customWidth="1"/>
    <col min="12816" max="12816" width="2.7109375" style="1" customWidth="1"/>
    <col min="12817" max="12819" width="10.7109375" style="1" customWidth="1"/>
    <col min="12820" max="13056" width="11.42578125" style="1"/>
    <col min="13057" max="13057" width="11.42578125" style="1" customWidth="1"/>
    <col min="13058" max="13058" width="35.7109375" style="1" customWidth="1"/>
    <col min="13059" max="13062" width="10.7109375" style="1" customWidth="1"/>
    <col min="13063" max="13063" width="2.7109375" style="1" customWidth="1"/>
    <col min="13064" max="13067" width="10.7109375" style="1" customWidth="1"/>
    <col min="13068" max="13068" width="2.7109375" style="1" customWidth="1"/>
    <col min="13069" max="13071" width="10.7109375" style="1" customWidth="1"/>
    <col min="13072" max="13072" width="2.7109375" style="1" customWidth="1"/>
    <col min="13073" max="13075" width="10.7109375" style="1" customWidth="1"/>
    <col min="13076" max="13312" width="11.42578125" style="1"/>
    <col min="13313" max="13313" width="11.42578125" style="1" customWidth="1"/>
    <col min="13314" max="13314" width="35.7109375" style="1" customWidth="1"/>
    <col min="13315" max="13318" width="10.7109375" style="1" customWidth="1"/>
    <col min="13319" max="13319" width="2.7109375" style="1" customWidth="1"/>
    <col min="13320" max="13323" width="10.7109375" style="1" customWidth="1"/>
    <col min="13324" max="13324" width="2.7109375" style="1" customWidth="1"/>
    <col min="13325" max="13327" width="10.7109375" style="1" customWidth="1"/>
    <col min="13328" max="13328" width="2.7109375" style="1" customWidth="1"/>
    <col min="13329" max="13331" width="10.7109375" style="1" customWidth="1"/>
    <col min="13332" max="13568" width="11.42578125" style="1"/>
    <col min="13569" max="13569" width="11.42578125" style="1" customWidth="1"/>
    <col min="13570" max="13570" width="35.7109375" style="1" customWidth="1"/>
    <col min="13571" max="13574" width="10.7109375" style="1" customWidth="1"/>
    <col min="13575" max="13575" width="2.7109375" style="1" customWidth="1"/>
    <col min="13576" max="13579" width="10.7109375" style="1" customWidth="1"/>
    <col min="13580" max="13580" width="2.7109375" style="1" customWidth="1"/>
    <col min="13581" max="13583" width="10.7109375" style="1" customWidth="1"/>
    <col min="13584" max="13584" width="2.7109375" style="1" customWidth="1"/>
    <col min="13585" max="13587" width="10.7109375" style="1" customWidth="1"/>
    <col min="13588" max="13824" width="11.42578125" style="1"/>
    <col min="13825" max="13825" width="11.42578125" style="1" customWidth="1"/>
    <col min="13826" max="13826" width="35.7109375" style="1" customWidth="1"/>
    <col min="13827" max="13830" width="10.7109375" style="1" customWidth="1"/>
    <col min="13831" max="13831" width="2.7109375" style="1" customWidth="1"/>
    <col min="13832" max="13835" width="10.7109375" style="1" customWidth="1"/>
    <col min="13836" max="13836" width="2.7109375" style="1" customWidth="1"/>
    <col min="13837" max="13839" width="10.7109375" style="1" customWidth="1"/>
    <col min="13840" max="13840" width="2.7109375" style="1" customWidth="1"/>
    <col min="13841" max="13843" width="10.7109375" style="1" customWidth="1"/>
    <col min="13844" max="14080" width="11.42578125" style="1"/>
    <col min="14081" max="14081" width="11.42578125" style="1" customWidth="1"/>
    <col min="14082" max="14082" width="35.7109375" style="1" customWidth="1"/>
    <col min="14083" max="14086" width="10.7109375" style="1" customWidth="1"/>
    <col min="14087" max="14087" width="2.7109375" style="1" customWidth="1"/>
    <col min="14088" max="14091" width="10.7109375" style="1" customWidth="1"/>
    <col min="14092" max="14092" width="2.7109375" style="1" customWidth="1"/>
    <col min="14093" max="14095" width="10.7109375" style="1" customWidth="1"/>
    <col min="14096" max="14096" width="2.7109375" style="1" customWidth="1"/>
    <col min="14097" max="14099" width="10.7109375" style="1" customWidth="1"/>
    <col min="14100" max="14336" width="11.42578125" style="1"/>
    <col min="14337" max="14337" width="11.42578125" style="1" customWidth="1"/>
    <col min="14338" max="14338" width="35.7109375" style="1" customWidth="1"/>
    <col min="14339" max="14342" width="10.7109375" style="1" customWidth="1"/>
    <col min="14343" max="14343" width="2.7109375" style="1" customWidth="1"/>
    <col min="14344" max="14347" width="10.7109375" style="1" customWidth="1"/>
    <col min="14348" max="14348" width="2.7109375" style="1" customWidth="1"/>
    <col min="14349" max="14351" width="10.7109375" style="1" customWidth="1"/>
    <col min="14352" max="14352" width="2.7109375" style="1" customWidth="1"/>
    <col min="14353" max="14355" width="10.7109375" style="1" customWidth="1"/>
    <col min="14356" max="14592" width="11.42578125" style="1"/>
    <col min="14593" max="14593" width="11.42578125" style="1" customWidth="1"/>
    <col min="14594" max="14594" width="35.7109375" style="1" customWidth="1"/>
    <col min="14595" max="14598" width="10.7109375" style="1" customWidth="1"/>
    <col min="14599" max="14599" width="2.7109375" style="1" customWidth="1"/>
    <col min="14600" max="14603" width="10.7109375" style="1" customWidth="1"/>
    <col min="14604" max="14604" width="2.7109375" style="1" customWidth="1"/>
    <col min="14605" max="14607" width="10.7109375" style="1" customWidth="1"/>
    <col min="14608" max="14608" width="2.7109375" style="1" customWidth="1"/>
    <col min="14609" max="14611" width="10.7109375" style="1" customWidth="1"/>
    <col min="14612" max="14848" width="11.42578125" style="1"/>
    <col min="14849" max="14849" width="11.42578125" style="1" customWidth="1"/>
    <col min="14850" max="14850" width="35.7109375" style="1" customWidth="1"/>
    <col min="14851" max="14854" width="10.7109375" style="1" customWidth="1"/>
    <col min="14855" max="14855" width="2.7109375" style="1" customWidth="1"/>
    <col min="14856" max="14859" width="10.7109375" style="1" customWidth="1"/>
    <col min="14860" max="14860" width="2.7109375" style="1" customWidth="1"/>
    <col min="14861" max="14863" width="10.7109375" style="1" customWidth="1"/>
    <col min="14864" max="14864" width="2.7109375" style="1" customWidth="1"/>
    <col min="14865" max="14867" width="10.7109375" style="1" customWidth="1"/>
    <col min="14868" max="15104" width="11.42578125" style="1"/>
    <col min="15105" max="15105" width="11.42578125" style="1" customWidth="1"/>
    <col min="15106" max="15106" width="35.7109375" style="1" customWidth="1"/>
    <col min="15107" max="15110" width="10.7109375" style="1" customWidth="1"/>
    <col min="15111" max="15111" width="2.7109375" style="1" customWidth="1"/>
    <col min="15112" max="15115" width="10.7109375" style="1" customWidth="1"/>
    <col min="15116" max="15116" width="2.7109375" style="1" customWidth="1"/>
    <col min="15117" max="15119" width="10.7109375" style="1" customWidth="1"/>
    <col min="15120" max="15120" width="2.7109375" style="1" customWidth="1"/>
    <col min="15121" max="15123" width="10.7109375" style="1" customWidth="1"/>
    <col min="15124" max="15360" width="11.42578125" style="1"/>
    <col min="15361" max="15361" width="11.42578125" style="1" customWidth="1"/>
    <col min="15362" max="15362" width="35.7109375" style="1" customWidth="1"/>
    <col min="15363" max="15366" width="10.7109375" style="1" customWidth="1"/>
    <col min="15367" max="15367" width="2.7109375" style="1" customWidth="1"/>
    <col min="15368" max="15371" width="10.7109375" style="1" customWidth="1"/>
    <col min="15372" max="15372" width="2.7109375" style="1" customWidth="1"/>
    <col min="15373" max="15375" width="10.7109375" style="1" customWidth="1"/>
    <col min="15376" max="15376" width="2.7109375" style="1" customWidth="1"/>
    <col min="15377" max="15379" width="10.7109375" style="1" customWidth="1"/>
    <col min="15380" max="15616" width="11.42578125" style="1"/>
    <col min="15617" max="15617" width="11.42578125" style="1" customWidth="1"/>
    <col min="15618" max="15618" width="35.7109375" style="1" customWidth="1"/>
    <col min="15619" max="15622" width="10.7109375" style="1" customWidth="1"/>
    <col min="15623" max="15623" width="2.7109375" style="1" customWidth="1"/>
    <col min="15624" max="15627" width="10.7109375" style="1" customWidth="1"/>
    <col min="15628" max="15628" width="2.7109375" style="1" customWidth="1"/>
    <col min="15629" max="15631" width="10.7109375" style="1" customWidth="1"/>
    <col min="15632" max="15632" width="2.7109375" style="1" customWidth="1"/>
    <col min="15633" max="15635" width="10.7109375" style="1" customWidth="1"/>
    <col min="15636" max="15872" width="11.42578125" style="1"/>
    <col min="15873" max="15873" width="11.42578125" style="1" customWidth="1"/>
    <col min="15874" max="15874" width="35.7109375" style="1" customWidth="1"/>
    <col min="15875" max="15878" width="10.7109375" style="1" customWidth="1"/>
    <col min="15879" max="15879" width="2.7109375" style="1" customWidth="1"/>
    <col min="15880" max="15883" width="10.7109375" style="1" customWidth="1"/>
    <col min="15884" max="15884" width="2.7109375" style="1" customWidth="1"/>
    <col min="15885" max="15887" width="10.7109375" style="1" customWidth="1"/>
    <col min="15888" max="15888" width="2.7109375" style="1" customWidth="1"/>
    <col min="15889" max="15891" width="10.7109375" style="1" customWidth="1"/>
    <col min="15892" max="16128" width="11.42578125" style="1"/>
    <col min="16129" max="16129" width="11.42578125" style="1" customWidth="1"/>
    <col min="16130" max="16130" width="35.7109375" style="1" customWidth="1"/>
    <col min="16131" max="16134" width="10.7109375" style="1" customWidth="1"/>
    <col min="16135" max="16135" width="2.7109375" style="1" customWidth="1"/>
    <col min="16136" max="16139" width="10.7109375" style="1" customWidth="1"/>
    <col min="16140" max="16140" width="2.7109375" style="1" customWidth="1"/>
    <col min="16141" max="16143" width="10.7109375" style="1" customWidth="1"/>
    <col min="16144" max="16144" width="2.7109375" style="1" customWidth="1"/>
    <col min="16145" max="16147" width="10.7109375" style="1" customWidth="1"/>
    <col min="16148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438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15</v>
      </c>
      <c r="B6" s="9" t="s">
        <v>16</v>
      </c>
      <c r="C6" s="9">
        <v>0</v>
      </c>
      <c r="D6" s="9">
        <v>0</v>
      </c>
      <c r="E6" s="9">
        <v>87</v>
      </c>
      <c r="F6" s="9">
        <f t="shared" ref="F6:F69" si="0">SUM(C6:E6)</f>
        <v>87</v>
      </c>
      <c r="H6" s="10">
        <v>0</v>
      </c>
      <c r="I6" s="10">
        <v>0</v>
      </c>
      <c r="J6" s="10">
        <v>127.83</v>
      </c>
      <c r="K6" s="10">
        <v>127.83</v>
      </c>
      <c r="M6" s="10">
        <v>0</v>
      </c>
      <c r="N6" s="10">
        <v>184.12431000000001</v>
      </c>
      <c r="O6" s="10">
        <v>184.12431000000001</v>
      </c>
      <c r="Q6" s="21">
        <v>0</v>
      </c>
      <c r="R6" s="21">
        <v>1559.98</v>
      </c>
      <c r="S6" s="21">
        <v>1559.98</v>
      </c>
    </row>
    <row r="7" spans="1:19" x14ac:dyDescent="0.2">
      <c r="A7" s="9" t="s">
        <v>17</v>
      </c>
      <c r="B7" s="9" t="s">
        <v>18</v>
      </c>
      <c r="C7" s="9">
        <v>1</v>
      </c>
      <c r="D7" s="9">
        <v>0</v>
      </c>
      <c r="E7" s="9">
        <v>17</v>
      </c>
      <c r="F7" s="9">
        <f t="shared" si="0"/>
        <v>18</v>
      </c>
      <c r="H7" s="10">
        <v>108</v>
      </c>
      <c r="I7" s="10">
        <v>0</v>
      </c>
      <c r="J7" s="10">
        <v>136.13</v>
      </c>
      <c r="K7" s="10">
        <v>134.37</v>
      </c>
      <c r="M7" s="10">
        <v>0</v>
      </c>
      <c r="N7" s="10">
        <v>78.315910000000002</v>
      </c>
      <c r="O7" s="10">
        <v>78.428179999999998</v>
      </c>
      <c r="Q7" s="21">
        <v>0</v>
      </c>
      <c r="R7" s="21">
        <v>573.28</v>
      </c>
      <c r="S7" s="21">
        <v>584.44000000000005</v>
      </c>
    </row>
    <row r="8" spans="1:19" x14ac:dyDescent="0.2">
      <c r="A8" s="9" t="s">
        <v>19</v>
      </c>
      <c r="B8" s="9" t="s">
        <v>20</v>
      </c>
      <c r="C8" s="9">
        <v>14</v>
      </c>
      <c r="D8" s="9">
        <v>2</v>
      </c>
      <c r="E8" s="9">
        <v>81</v>
      </c>
      <c r="F8" s="9">
        <f t="shared" si="0"/>
        <v>97</v>
      </c>
      <c r="H8" s="10">
        <v>105.58</v>
      </c>
      <c r="I8" s="10">
        <v>97</v>
      </c>
      <c r="J8" s="10">
        <v>98.44</v>
      </c>
      <c r="K8" s="10">
        <v>99.58</v>
      </c>
      <c r="M8" s="10">
        <v>67.566670000000002</v>
      </c>
      <c r="N8" s="10">
        <v>81.384789999999995</v>
      </c>
      <c r="O8" s="10">
        <v>79.113320000000002</v>
      </c>
      <c r="Q8" s="21">
        <v>759.74</v>
      </c>
      <c r="R8" s="21">
        <v>991.3</v>
      </c>
      <c r="S8" s="21">
        <v>953.24</v>
      </c>
    </row>
    <row r="9" spans="1:19" x14ac:dyDescent="0.2">
      <c r="A9" s="9" t="s">
        <v>21</v>
      </c>
      <c r="B9" s="9" t="s">
        <v>22</v>
      </c>
      <c r="C9" s="9">
        <v>18</v>
      </c>
      <c r="D9" s="9">
        <v>0</v>
      </c>
      <c r="E9" s="9">
        <v>54</v>
      </c>
      <c r="F9" s="9">
        <f t="shared" si="0"/>
        <v>72</v>
      </c>
      <c r="H9" s="10">
        <v>95.13</v>
      </c>
      <c r="I9" s="10">
        <v>0</v>
      </c>
      <c r="J9" s="10">
        <v>88.08</v>
      </c>
      <c r="K9" s="10">
        <v>89.28</v>
      </c>
      <c r="M9" s="10">
        <v>38.68036</v>
      </c>
      <c r="N9" s="10">
        <v>51.841650000000001</v>
      </c>
      <c r="O9" s="10">
        <v>49.838839999999998</v>
      </c>
      <c r="Q9" s="21">
        <v>436.23</v>
      </c>
      <c r="R9" s="21">
        <v>592.96</v>
      </c>
      <c r="S9" s="21">
        <v>569.11</v>
      </c>
    </row>
    <row r="10" spans="1:19" x14ac:dyDescent="0.2">
      <c r="A10" s="9" t="s">
        <v>23</v>
      </c>
      <c r="B10" s="9" t="s">
        <v>24</v>
      </c>
      <c r="C10" s="9">
        <v>1</v>
      </c>
      <c r="D10" s="9">
        <v>0</v>
      </c>
      <c r="E10" s="9">
        <v>10</v>
      </c>
      <c r="F10" s="9">
        <f t="shared" si="0"/>
        <v>11</v>
      </c>
      <c r="H10" s="10">
        <v>0</v>
      </c>
      <c r="I10" s="10">
        <v>0</v>
      </c>
      <c r="J10" s="10">
        <v>90.67</v>
      </c>
      <c r="K10" s="10">
        <v>90.67</v>
      </c>
      <c r="M10" s="10">
        <v>0</v>
      </c>
      <c r="N10" s="10">
        <v>101.54444000000001</v>
      </c>
      <c r="O10" s="10">
        <v>101.54444000000001</v>
      </c>
      <c r="Q10" s="21">
        <v>0</v>
      </c>
      <c r="R10" s="21">
        <v>1115.8399999999999</v>
      </c>
      <c r="S10" s="21">
        <v>1115.8399999999999</v>
      </c>
    </row>
    <row r="11" spans="1:19" x14ac:dyDescent="0.2">
      <c r="A11" s="9" t="s">
        <v>25</v>
      </c>
      <c r="B11" s="9" t="s">
        <v>26</v>
      </c>
      <c r="C11" s="9">
        <v>8</v>
      </c>
      <c r="D11" s="9">
        <v>0</v>
      </c>
      <c r="E11" s="9">
        <v>75</v>
      </c>
      <c r="F11" s="9">
        <f t="shared" si="0"/>
        <v>83</v>
      </c>
      <c r="H11" s="10">
        <v>211.29</v>
      </c>
      <c r="I11" s="10">
        <v>0</v>
      </c>
      <c r="J11" s="10">
        <v>195.13</v>
      </c>
      <c r="K11" s="10">
        <v>196.64</v>
      </c>
      <c r="M11" s="10">
        <v>529.55493000000001</v>
      </c>
      <c r="N11" s="10">
        <v>454.54139000000004</v>
      </c>
      <c r="O11" s="10">
        <v>461.54265000000004</v>
      </c>
      <c r="Q11" s="21">
        <v>2691.71</v>
      </c>
      <c r="R11" s="21">
        <v>2490.7399999999998</v>
      </c>
      <c r="S11" s="21">
        <v>2509.5</v>
      </c>
    </row>
    <row r="12" spans="1:19" x14ac:dyDescent="0.2">
      <c r="A12" s="9" t="s">
        <v>27</v>
      </c>
      <c r="B12" s="9" t="s">
        <v>28</v>
      </c>
      <c r="C12" s="9">
        <v>11</v>
      </c>
      <c r="D12" s="9">
        <v>1</v>
      </c>
      <c r="E12" s="9">
        <v>23</v>
      </c>
      <c r="F12" s="9">
        <f t="shared" si="0"/>
        <v>35</v>
      </c>
      <c r="H12" s="10">
        <v>139.86000000000001</v>
      </c>
      <c r="I12" s="10">
        <v>0</v>
      </c>
      <c r="J12" s="10">
        <v>114.75</v>
      </c>
      <c r="K12" s="10">
        <v>121.26</v>
      </c>
      <c r="M12" s="10">
        <v>65.021429999999995</v>
      </c>
      <c r="N12" s="10">
        <v>61.042230000000004</v>
      </c>
      <c r="O12" s="10">
        <v>62.368629999999996</v>
      </c>
      <c r="Q12" s="21">
        <v>571.76</v>
      </c>
      <c r="R12" s="21">
        <v>508.38</v>
      </c>
      <c r="S12" s="21">
        <v>529.51</v>
      </c>
    </row>
    <row r="13" spans="1:19" x14ac:dyDescent="0.2">
      <c r="A13" s="9" t="s">
        <v>29</v>
      </c>
      <c r="B13" s="9" t="s">
        <v>30</v>
      </c>
      <c r="C13" s="9">
        <v>7</v>
      </c>
      <c r="D13" s="9">
        <v>0</v>
      </c>
      <c r="E13" s="9">
        <v>30</v>
      </c>
      <c r="F13" s="9">
        <f t="shared" si="0"/>
        <v>37</v>
      </c>
      <c r="H13" s="10">
        <v>147.25</v>
      </c>
      <c r="I13" s="10">
        <v>0</v>
      </c>
      <c r="J13" s="10">
        <v>159.38999999999999</v>
      </c>
      <c r="K13" s="10">
        <v>157.59</v>
      </c>
      <c r="M13" s="10">
        <v>110.75</v>
      </c>
      <c r="N13" s="10">
        <v>156.4</v>
      </c>
      <c r="O13" s="10">
        <v>149.37692000000001</v>
      </c>
      <c r="Q13" s="21">
        <v>692.62</v>
      </c>
      <c r="R13" s="21">
        <v>1032.28</v>
      </c>
      <c r="S13" s="21">
        <v>980.02</v>
      </c>
    </row>
    <row r="14" spans="1:19" x14ac:dyDescent="0.2">
      <c r="A14" s="9" t="s">
        <v>31</v>
      </c>
      <c r="B14" s="9" t="s">
        <v>32</v>
      </c>
      <c r="C14" s="9">
        <v>23</v>
      </c>
      <c r="D14" s="9">
        <v>0</v>
      </c>
      <c r="E14" s="9">
        <v>80</v>
      </c>
      <c r="F14" s="9">
        <f t="shared" si="0"/>
        <v>103</v>
      </c>
      <c r="H14" s="10">
        <v>133.30000000000001</v>
      </c>
      <c r="I14" s="10">
        <v>0</v>
      </c>
      <c r="J14" s="10">
        <v>113.3</v>
      </c>
      <c r="K14" s="10">
        <v>118.19</v>
      </c>
      <c r="M14" s="10">
        <v>192.89212000000001</v>
      </c>
      <c r="N14" s="10">
        <v>193.01967000000002</v>
      </c>
      <c r="O14" s="10">
        <v>192.98742999999999</v>
      </c>
      <c r="Q14" s="21">
        <v>1694.65</v>
      </c>
      <c r="R14" s="21">
        <v>2025.26</v>
      </c>
      <c r="S14" s="21">
        <v>1941.7</v>
      </c>
    </row>
    <row r="15" spans="1:19" x14ac:dyDescent="0.2">
      <c r="A15" s="9" t="s">
        <v>33</v>
      </c>
      <c r="B15" s="9" t="s">
        <v>34</v>
      </c>
      <c r="C15" s="9">
        <v>5</v>
      </c>
      <c r="D15" s="9">
        <v>0</v>
      </c>
      <c r="E15" s="9">
        <v>118</v>
      </c>
      <c r="F15" s="9">
        <f t="shared" si="0"/>
        <v>123</v>
      </c>
      <c r="H15" s="10">
        <v>119.6</v>
      </c>
      <c r="I15" s="10">
        <v>0</v>
      </c>
      <c r="J15" s="10">
        <v>91.06</v>
      </c>
      <c r="K15" s="10">
        <v>92.24</v>
      </c>
      <c r="M15" s="10">
        <v>145.68</v>
      </c>
      <c r="N15" s="10">
        <v>142.81549999999999</v>
      </c>
      <c r="O15" s="10">
        <v>142.93485000000001</v>
      </c>
      <c r="Q15" s="21">
        <v>1304.98</v>
      </c>
      <c r="R15" s="21">
        <v>1630.29</v>
      </c>
      <c r="S15" s="21">
        <v>1616.74</v>
      </c>
    </row>
    <row r="16" spans="1:19" x14ac:dyDescent="0.2">
      <c r="A16" s="9" t="s">
        <v>35</v>
      </c>
      <c r="B16" s="9" t="s">
        <v>36</v>
      </c>
      <c r="C16" s="9">
        <v>18</v>
      </c>
      <c r="D16" s="9">
        <v>0</v>
      </c>
      <c r="E16" s="9">
        <v>56</v>
      </c>
      <c r="F16" s="9">
        <f t="shared" si="0"/>
        <v>74</v>
      </c>
      <c r="H16" s="10">
        <v>196.65</v>
      </c>
      <c r="I16" s="10">
        <v>0</v>
      </c>
      <c r="J16" s="10">
        <v>195.04</v>
      </c>
      <c r="K16" s="10">
        <v>195.43</v>
      </c>
      <c r="M16" s="10">
        <v>229.24117999999999</v>
      </c>
      <c r="N16" s="10">
        <v>274.64639</v>
      </c>
      <c r="O16" s="10">
        <v>263.61940999999996</v>
      </c>
      <c r="Q16" s="21">
        <v>1384.39</v>
      </c>
      <c r="R16" s="21">
        <v>1463.17</v>
      </c>
      <c r="S16" s="21">
        <v>1444.04</v>
      </c>
    </row>
    <row r="17" spans="1:19" x14ac:dyDescent="0.2">
      <c r="A17" s="9" t="s">
        <v>37</v>
      </c>
      <c r="B17" s="9" t="s">
        <v>38</v>
      </c>
      <c r="C17" s="9">
        <v>6</v>
      </c>
      <c r="D17" s="9">
        <v>0</v>
      </c>
      <c r="E17" s="9">
        <v>191</v>
      </c>
      <c r="F17" s="9">
        <f t="shared" si="0"/>
        <v>197</v>
      </c>
      <c r="H17" s="10">
        <v>48.8</v>
      </c>
      <c r="I17" s="10">
        <v>0</v>
      </c>
      <c r="J17" s="10">
        <v>85.23</v>
      </c>
      <c r="K17" s="10">
        <v>84.21</v>
      </c>
      <c r="M17" s="10">
        <v>38.880800000000001</v>
      </c>
      <c r="N17" s="10">
        <v>52.838459999999998</v>
      </c>
      <c r="O17" s="10">
        <v>52.43271</v>
      </c>
      <c r="Q17" s="21">
        <v>848.87</v>
      </c>
      <c r="R17" s="21">
        <v>626.25</v>
      </c>
      <c r="S17" s="21">
        <v>632.72</v>
      </c>
    </row>
    <row r="18" spans="1:19" x14ac:dyDescent="0.2">
      <c r="A18" s="9" t="s">
        <v>39</v>
      </c>
      <c r="B18" s="9" t="s">
        <v>40</v>
      </c>
      <c r="C18" s="9">
        <v>4</v>
      </c>
      <c r="D18" s="9">
        <v>0</v>
      </c>
      <c r="E18" s="9">
        <v>24</v>
      </c>
      <c r="F18" s="9">
        <f t="shared" si="0"/>
        <v>28</v>
      </c>
      <c r="H18" s="10">
        <v>147</v>
      </c>
      <c r="I18" s="10">
        <v>0</v>
      </c>
      <c r="J18" s="10">
        <v>124.95</v>
      </c>
      <c r="K18" s="10">
        <v>127.71</v>
      </c>
      <c r="M18" s="10">
        <v>71.349999999999994</v>
      </c>
      <c r="N18" s="10">
        <v>115.5946</v>
      </c>
      <c r="O18" s="10">
        <v>109.82357</v>
      </c>
      <c r="Q18" s="21">
        <v>662.28</v>
      </c>
      <c r="R18" s="21">
        <v>936.52</v>
      </c>
      <c r="S18" s="21">
        <v>900.75</v>
      </c>
    </row>
    <row r="19" spans="1:19" x14ac:dyDescent="0.2">
      <c r="A19" s="9" t="s">
        <v>41</v>
      </c>
      <c r="B19" s="9" t="s">
        <v>42</v>
      </c>
      <c r="C19" s="9">
        <v>2</v>
      </c>
      <c r="D19" s="9">
        <v>2</v>
      </c>
      <c r="E19" s="9">
        <v>24</v>
      </c>
      <c r="F19" s="9">
        <f t="shared" si="0"/>
        <v>28</v>
      </c>
      <c r="H19" s="10">
        <v>133</v>
      </c>
      <c r="I19" s="10">
        <v>89</v>
      </c>
      <c r="J19" s="10">
        <v>88.95</v>
      </c>
      <c r="K19" s="10">
        <v>92.78</v>
      </c>
      <c r="M19" s="10">
        <v>0</v>
      </c>
      <c r="N19" s="10">
        <v>79.271429999999995</v>
      </c>
      <c r="O19" s="10">
        <v>80.237499999999997</v>
      </c>
      <c r="Q19" s="21">
        <v>0</v>
      </c>
      <c r="R19" s="21">
        <v>867.27</v>
      </c>
      <c r="S19" s="21">
        <v>835.75</v>
      </c>
    </row>
    <row r="20" spans="1:19" x14ac:dyDescent="0.2">
      <c r="A20" s="9" t="s">
        <v>43</v>
      </c>
      <c r="B20" s="9" t="s">
        <v>44</v>
      </c>
      <c r="C20" s="9">
        <v>2</v>
      </c>
      <c r="D20" s="9">
        <v>0</v>
      </c>
      <c r="E20" s="9">
        <v>22</v>
      </c>
      <c r="F20" s="9">
        <f t="shared" si="0"/>
        <v>24</v>
      </c>
      <c r="H20" s="10">
        <v>100.5</v>
      </c>
      <c r="I20" s="10">
        <v>0</v>
      </c>
      <c r="J20" s="10">
        <v>104.15</v>
      </c>
      <c r="K20" s="10">
        <v>103.82</v>
      </c>
      <c r="M20" s="10">
        <v>0</v>
      </c>
      <c r="N20" s="10">
        <v>105.02723</v>
      </c>
      <c r="O20" s="10">
        <v>100.6913</v>
      </c>
      <c r="Q20" s="21">
        <v>0</v>
      </c>
      <c r="R20" s="21">
        <v>1017.14</v>
      </c>
      <c r="S20" s="21">
        <v>976.53</v>
      </c>
    </row>
    <row r="21" spans="1:19" x14ac:dyDescent="0.2">
      <c r="A21" s="9" t="s">
        <v>45</v>
      </c>
      <c r="B21" s="9" t="s">
        <v>46</v>
      </c>
      <c r="C21" s="9">
        <v>75</v>
      </c>
      <c r="D21" s="9">
        <v>4</v>
      </c>
      <c r="E21" s="9">
        <v>126</v>
      </c>
      <c r="F21" s="9">
        <f t="shared" si="0"/>
        <v>205</v>
      </c>
      <c r="H21" s="10">
        <v>104.41</v>
      </c>
      <c r="I21" s="10">
        <v>77.33</v>
      </c>
      <c r="J21" s="10">
        <v>100.6</v>
      </c>
      <c r="K21" s="10">
        <v>101.6</v>
      </c>
      <c r="M21" s="10">
        <v>227.80223000000001</v>
      </c>
      <c r="N21" s="10">
        <v>212.48227</v>
      </c>
      <c r="O21" s="10">
        <v>218.24876999999998</v>
      </c>
      <c r="Q21" s="21">
        <v>2461.87</v>
      </c>
      <c r="R21" s="21">
        <v>2128.92</v>
      </c>
      <c r="S21" s="21">
        <v>2254.2399999999998</v>
      </c>
    </row>
    <row r="22" spans="1:19" x14ac:dyDescent="0.2">
      <c r="A22" s="9" t="s">
        <v>47</v>
      </c>
      <c r="B22" s="9" t="s">
        <v>48</v>
      </c>
      <c r="C22" s="9">
        <v>14</v>
      </c>
      <c r="D22" s="9">
        <v>0</v>
      </c>
      <c r="E22" s="9">
        <v>61</v>
      </c>
      <c r="F22" s="9">
        <f t="shared" si="0"/>
        <v>75</v>
      </c>
      <c r="H22" s="10">
        <v>111.57</v>
      </c>
      <c r="I22" s="10">
        <v>0</v>
      </c>
      <c r="J22" s="10">
        <v>117.44</v>
      </c>
      <c r="K22" s="10">
        <v>116.31</v>
      </c>
      <c r="M22" s="10">
        <v>176.71629000000001</v>
      </c>
      <c r="N22" s="10">
        <v>203.70631</v>
      </c>
      <c r="O22" s="10">
        <v>198.38432999999998</v>
      </c>
      <c r="Q22" s="21">
        <v>1704.13</v>
      </c>
      <c r="R22" s="21">
        <v>1731.2</v>
      </c>
      <c r="S22" s="21">
        <v>1725.86</v>
      </c>
    </row>
    <row r="23" spans="1:19" x14ac:dyDescent="0.2">
      <c r="A23" s="9" t="s">
        <v>49</v>
      </c>
      <c r="B23" s="9" t="s">
        <v>50</v>
      </c>
      <c r="C23" s="9">
        <v>24</v>
      </c>
      <c r="D23" s="9">
        <v>0</v>
      </c>
      <c r="E23" s="9">
        <v>66</v>
      </c>
      <c r="F23" s="9">
        <f t="shared" si="0"/>
        <v>90</v>
      </c>
      <c r="H23" s="10">
        <v>175.25</v>
      </c>
      <c r="I23" s="10">
        <v>0</v>
      </c>
      <c r="J23" s="10">
        <v>119.39</v>
      </c>
      <c r="K23" s="10">
        <v>131.31</v>
      </c>
      <c r="M23" s="10">
        <v>203.90625</v>
      </c>
      <c r="N23" s="10">
        <v>227.67443</v>
      </c>
      <c r="O23" s="10">
        <v>222.60388</v>
      </c>
      <c r="Q23" s="21">
        <v>1542.33</v>
      </c>
      <c r="R23" s="21">
        <v>2069.87</v>
      </c>
      <c r="S23" s="21">
        <v>1957.33</v>
      </c>
    </row>
    <row r="24" spans="1:19" x14ac:dyDescent="0.2">
      <c r="A24" s="9" t="s">
        <v>51</v>
      </c>
      <c r="B24" s="9" t="s">
        <v>52</v>
      </c>
      <c r="C24" s="9">
        <v>16</v>
      </c>
      <c r="D24" s="9">
        <v>0</v>
      </c>
      <c r="E24" s="9">
        <v>31</v>
      </c>
      <c r="F24" s="9">
        <f t="shared" si="0"/>
        <v>47</v>
      </c>
      <c r="H24" s="10">
        <v>178.38</v>
      </c>
      <c r="I24" s="10">
        <v>0</v>
      </c>
      <c r="J24" s="10">
        <v>109.13</v>
      </c>
      <c r="K24" s="10">
        <v>126.44</v>
      </c>
      <c r="M24" s="10">
        <v>173.82504</v>
      </c>
      <c r="N24" s="10">
        <v>154.01724999999999</v>
      </c>
      <c r="O24" s="10">
        <v>159.12894</v>
      </c>
      <c r="Q24" s="21">
        <v>952.5</v>
      </c>
      <c r="R24" s="21">
        <v>1616.78</v>
      </c>
      <c r="S24" s="21">
        <v>1445.35</v>
      </c>
    </row>
    <row r="25" spans="1:19" x14ac:dyDescent="0.2">
      <c r="A25" s="9" t="s">
        <v>53</v>
      </c>
      <c r="B25" s="9" t="s">
        <v>54</v>
      </c>
      <c r="C25" s="9">
        <v>447</v>
      </c>
      <c r="D25" s="9">
        <v>234</v>
      </c>
      <c r="E25" s="9">
        <v>1358</v>
      </c>
      <c r="F25" s="9">
        <f t="shared" si="0"/>
        <v>2039</v>
      </c>
      <c r="H25" s="10">
        <v>92.85</v>
      </c>
      <c r="I25" s="10">
        <v>87.43</v>
      </c>
      <c r="J25" s="10">
        <v>75.41</v>
      </c>
      <c r="K25" s="10">
        <v>80.45</v>
      </c>
      <c r="M25" s="10">
        <v>207.71254000000002</v>
      </c>
      <c r="N25" s="10">
        <v>155.29486</v>
      </c>
      <c r="O25" s="10">
        <v>169.29023000000001</v>
      </c>
      <c r="Q25" s="21">
        <v>2285.75</v>
      </c>
      <c r="R25" s="21">
        <v>2030.18</v>
      </c>
      <c r="S25" s="21">
        <v>2098.42</v>
      </c>
    </row>
    <row r="26" spans="1:19" x14ac:dyDescent="0.2">
      <c r="A26" s="9" t="s">
        <v>55</v>
      </c>
      <c r="B26" s="9" t="s">
        <v>56</v>
      </c>
      <c r="C26" s="9">
        <v>0</v>
      </c>
      <c r="D26" s="9">
        <v>7</v>
      </c>
      <c r="E26" s="9">
        <v>65</v>
      </c>
      <c r="F26" s="9">
        <f t="shared" si="0"/>
        <v>72</v>
      </c>
      <c r="H26" s="10">
        <v>0</v>
      </c>
      <c r="I26" s="10">
        <v>76.599999999999994</v>
      </c>
      <c r="J26" s="10">
        <v>79.209999999999994</v>
      </c>
      <c r="K26" s="10">
        <v>79</v>
      </c>
      <c r="M26" s="10">
        <v>0</v>
      </c>
      <c r="N26" s="10">
        <v>131.83251000000001</v>
      </c>
      <c r="O26" s="10">
        <v>131.83251000000001</v>
      </c>
      <c r="Q26" s="21">
        <v>0</v>
      </c>
      <c r="R26" s="21">
        <v>1628.05</v>
      </c>
      <c r="S26" s="21">
        <v>1628.05</v>
      </c>
    </row>
    <row r="27" spans="1:19" x14ac:dyDescent="0.2">
      <c r="A27" s="9" t="s">
        <v>57</v>
      </c>
      <c r="B27" s="9" t="s">
        <v>58</v>
      </c>
      <c r="C27" s="9">
        <v>10</v>
      </c>
      <c r="D27" s="9">
        <v>0</v>
      </c>
      <c r="E27" s="9">
        <v>79</v>
      </c>
      <c r="F27" s="9">
        <f t="shared" si="0"/>
        <v>89</v>
      </c>
      <c r="H27" s="10">
        <v>67.22</v>
      </c>
      <c r="I27" s="10">
        <v>0</v>
      </c>
      <c r="J27" s="10">
        <v>83.41</v>
      </c>
      <c r="K27" s="10">
        <v>81.63</v>
      </c>
      <c r="M27" s="10">
        <v>46.193750000000001</v>
      </c>
      <c r="N27" s="10">
        <v>56.991870000000006</v>
      </c>
      <c r="O27" s="10">
        <v>55.642099999999999</v>
      </c>
      <c r="Q27" s="21">
        <v>727.58</v>
      </c>
      <c r="R27" s="21">
        <v>682.85</v>
      </c>
      <c r="S27" s="21">
        <v>688.44</v>
      </c>
    </row>
    <row r="28" spans="1:19" x14ac:dyDescent="0.2">
      <c r="A28" s="9" t="s">
        <v>59</v>
      </c>
      <c r="B28" s="9" t="s">
        <v>60</v>
      </c>
      <c r="C28" s="9">
        <v>46</v>
      </c>
      <c r="D28" s="9">
        <v>8</v>
      </c>
      <c r="E28" s="9">
        <v>84</v>
      </c>
      <c r="F28" s="9">
        <f t="shared" si="0"/>
        <v>138</v>
      </c>
      <c r="H28" s="10">
        <v>114.49</v>
      </c>
      <c r="I28" s="10">
        <v>90.86</v>
      </c>
      <c r="J28" s="10">
        <v>105.13</v>
      </c>
      <c r="K28" s="10">
        <v>107.49</v>
      </c>
      <c r="M28" s="10">
        <v>123.26744000000001</v>
      </c>
      <c r="N28" s="10">
        <v>131.21122</v>
      </c>
      <c r="O28" s="10">
        <v>128.16138000000001</v>
      </c>
      <c r="Q28" s="21">
        <v>1237.22</v>
      </c>
      <c r="R28" s="21">
        <v>1286.8900000000001</v>
      </c>
      <c r="S28" s="21">
        <v>1267.82</v>
      </c>
    </row>
    <row r="29" spans="1:19" x14ac:dyDescent="0.2">
      <c r="A29" s="9" t="s">
        <v>61</v>
      </c>
      <c r="B29" s="9" t="s">
        <v>62</v>
      </c>
      <c r="C29" s="9">
        <v>9</v>
      </c>
      <c r="D29" s="9">
        <v>2</v>
      </c>
      <c r="E29" s="9">
        <v>334</v>
      </c>
      <c r="F29" s="9">
        <f t="shared" si="0"/>
        <v>345</v>
      </c>
      <c r="H29" s="10">
        <v>89.29</v>
      </c>
      <c r="I29" s="10">
        <v>47</v>
      </c>
      <c r="J29" s="10">
        <v>96.27</v>
      </c>
      <c r="K29" s="10">
        <v>95.98</v>
      </c>
      <c r="M29" s="10">
        <v>178.63642999999999</v>
      </c>
      <c r="N29" s="10">
        <v>171.14463000000001</v>
      </c>
      <c r="O29" s="10">
        <v>171.32671999999999</v>
      </c>
      <c r="Q29" s="21">
        <v>2211.71</v>
      </c>
      <c r="R29" s="21">
        <v>1791.74</v>
      </c>
      <c r="S29" s="21">
        <v>1801.95</v>
      </c>
    </row>
    <row r="30" spans="1:19" x14ac:dyDescent="0.2">
      <c r="A30" s="9" t="s">
        <v>63</v>
      </c>
      <c r="B30" s="9" t="s">
        <v>64</v>
      </c>
      <c r="C30" s="9">
        <v>679</v>
      </c>
      <c r="D30" s="9">
        <v>28</v>
      </c>
      <c r="E30" s="9">
        <v>9655</v>
      </c>
      <c r="F30" s="9">
        <f t="shared" si="0"/>
        <v>10362</v>
      </c>
      <c r="H30" s="10">
        <v>83.16</v>
      </c>
      <c r="I30" s="10">
        <v>73.569999999999993</v>
      </c>
      <c r="J30" s="10">
        <v>77.59</v>
      </c>
      <c r="K30" s="10">
        <v>77.959999999999994</v>
      </c>
      <c r="M30" s="10">
        <v>384.80314000000004</v>
      </c>
      <c r="N30" s="10">
        <v>330.47128000000004</v>
      </c>
      <c r="O30" s="10">
        <v>335.52870000000001</v>
      </c>
      <c r="Q30" s="21">
        <v>4332.45</v>
      </c>
      <c r="R30" s="21">
        <v>3897.08</v>
      </c>
      <c r="S30" s="21">
        <v>3937.61</v>
      </c>
    </row>
    <row r="31" spans="1:19" x14ac:dyDescent="0.2">
      <c r="A31" s="9" t="s">
        <v>65</v>
      </c>
      <c r="B31" s="9" t="s">
        <v>66</v>
      </c>
      <c r="C31" s="9">
        <v>0</v>
      </c>
      <c r="D31" s="9">
        <v>0</v>
      </c>
      <c r="E31" s="9">
        <v>56</v>
      </c>
      <c r="F31" s="9">
        <f t="shared" si="0"/>
        <v>56</v>
      </c>
      <c r="H31" s="10">
        <v>0</v>
      </c>
      <c r="I31" s="10">
        <v>0</v>
      </c>
      <c r="J31" s="10">
        <v>185.94</v>
      </c>
      <c r="K31" s="10">
        <v>185.94</v>
      </c>
      <c r="M31" s="10">
        <v>0</v>
      </c>
      <c r="N31" s="10">
        <v>318.40114</v>
      </c>
      <c r="O31" s="10">
        <v>318.40114</v>
      </c>
      <c r="Q31" s="21">
        <v>0</v>
      </c>
      <c r="R31" s="21">
        <v>1881.05</v>
      </c>
      <c r="S31" s="21">
        <v>1881.05</v>
      </c>
    </row>
    <row r="32" spans="1:19" x14ac:dyDescent="0.2">
      <c r="A32" s="9" t="s">
        <v>67</v>
      </c>
      <c r="B32" s="9" t="s">
        <v>68</v>
      </c>
      <c r="C32" s="9">
        <v>9</v>
      </c>
      <c r="D32" s="9">
        <v>0</v>
      </c>
      <c r="E32" s="9">
        <v>84</v>
      </c>
      <c r="F32" s="9">
        <f t="shared" si="0"/>
        <v>93</v>
      </c>
      <c r="H32" s="10">
        <v>83.71</v>
      </c>
      <c r="I32" s="10">
        <v>0</v>
      </c>
      <c r="J32" s="10">
        <v>93.12</v>
      </c>
      <c r="K32" s="10">
        <v>92.33</v>
      </c>
      <c r="M32" s="10">
        <v>109.4136</v>
      </c>
      <c r="N32" s="10">
        <v>93.578059999999994</v>
      </c>
      <c r="O32" s="10">
        <v>94.981210000000004</v>
      </c>
      <c r="Q32" s="21">
        <v>1280.6500000000001</v>
      </c>
      <c r="R32" s="21">
        <v>979.47</v>
      </c>
      <c r="S32" s="21">
        <v>1006.16</v>
      </c>
    </row>
    <row r="33" spans="1:19" x14ac:dyDescent="0.2">
      <c r="A33" s="9" t="s">
        <v>69</v>
      </c>
      <c r="B33" s="9" t="s">
        <v>70</v>
      </c>
      <c r="C33" s="9">
        <v>22</v>
      </c>
      <c r="D33" s="9">
        <v>0</v>
      </c>
      <c r="E33" s="9">
        <v>80</v>
      </c>
      <c r="F33" s="9">
        <f t="shared" si="0"/>
        <v>102</v>
      </c>
      <c r="H33" s="10">
        <v>190.32</v>
      </c>
      <c r="I33" s="10">
        <v>0</v>
      </c>
      <c r="J33" s="10">
        <v>162</v>
      </c>
      <c r="K33" s="10">
        <v>167.91</v>
      </c>
      <c r="M33" s="10">
        <v>164.15732999999997</v>
      </c>
      <c r="N33" s="10">
        <v>183.87020999999999</v>
      </c>
      <c r="O33" s="10">
        <v>179.79907</v>
      </c>
      <c r="Q33" s="21">
        <v>976.38</v>
      </c>
      <c r="R33" s="21">
        <v>1222.3900000000001</v>
      </c>
      <c r="S33" s="21">
        <v>1171.58</v>
      </c>
    </row>
    <row r="34" spans="1:19" x14ac:dyDescent="0.2">
      <c r="A34" s="9" t="s">
        <v>71</v>
      </c>
      <c r="B34" s="9" t="s">
        <v>72</v>
      </c>
      <c r="C34" s="9">
        <v>14</v>
      </c>
      <c r="D34" s="9">
        <v>0</v>
      </c>
      <c r="E34" s="9">
        <v>64</v>
      </c>
      <c r="F34" s="9">
        <f t="shared" si="0"/>
        <v>78</v>
      </c>
      <c r="H34" s="10">
        <v>138.5</v>
      </c>
      <c r="I34" s="10">
        <v>0</v>
      </c>
      <c r="J34" s="10">
        <v>108.63</v>
      </c>
      <c r="K34" s="10">
        <v>114.06</v>
      </c>
      <c r="M34" s="10">
        <v>110.57447000000001</v>
      </c>
      <c r="N34" s="10">
        <v>98.838759999999994</v>
      </c>
      <c r="O34" s="10">
        <v>101.21992</v>
      </c>
      <c r="Q34" s="21">
        <v>776.52</v>
      </c>
      <c r="R34" s="21">
        <v>858.42</v>
      </c>
      <c r="S34" s="21">
        <v>841.8</v>
      </c>
    </row>
    <row r="35" spans="1:19" x14ac:dyDescent="0.2">
      <c r="A35" s="9" t="s">
        <v>73</v>
      </c>
      <c r="B35" s="9" t="s">
        <v>74</v>
      </c>
      <c r="C35" s="9">
        <v>44</v>
      </c>
      <c r="D35" s="9">
        <v>1</v>
      </c>
      <c r="E35" s="9">
        <v>393</v>
      </c>
      <c r="F35" s="9">
        <f t="shared" si="0"/>
        <v>438</v>
      </c>
      <c r="H35" s="10">
        <v>79.260000000000005</v>
      </c>
      <c r="I35" s="10">
        <v>82</v>
      </c>
      <c r="J35" s="10">
        <v>72.97</v>
      </c>
      <c r="K35" s="10">
        <v>73.62</v>
      </c>
      <c r="M35" s="10">
        <v>149.4915</v>
      </c>
      <c r="N35" s="10">
        <v>116.5244</v>
      </c>
      <c r="O35" s="10">
        <v>119.85617999999999</v>
      </c>
      <c r="Q35" s="21">
        <v>1915.81</v>
      </c>
      <c r="R35" s="21">
        <v>1665.36</v>
      </c>
      <c r="S35" s="21">
        <v>1690.67</v>
      </c>
    </row>
    <row r="36" spans="1:19" x14ac:dyDescent="0.2">
      <c r="A36" s="9" t="s">
        <v>75</v>
      </c>
      <c r="B36" s="9" t="s">
        <v>76</v>
      </c>
      <c r="C36" s="9">
        <v>10</v>
      </c>
      <c r="D36" s="9">
        <v>0</v>
      </c>
      <c r="E36" s="9">
        <v>27</v>
      </c>
      <c r="F36" s="9">
        <f t="shared" si="0"/>
        <v>37</v>
      </c>
      <c r="H36" s="10">
        <v>104.8</v>
      </c>
      <c r="I36" s="10">
        <v>0</v>
      </c>
      <c r="J36" s="10">
        <v>108</v>
      </c>
      <c r="K36" s="10">
        <v>106.9</v>
      </c>
      <c r="M36" s="10">
        <v>61.678089999999997</v>
      </c>
      <c r="N36" s="10">
        <v>70.201759999999993</v>
      </c>
      <c r="O36" s="10">
        <v>67.044850000000011</v>
      </c>
      <c r="Q36" s="21">
        <v>639.86</v>
      </c>
      <c r="R36" s="21">
        <v>649.36</v>
      </c>
      <c r="S36" s="21">
        <v>645.84</v>
      </c>
    </row>
    <row r="37" spans="1:19" x14ac:dyDescent="0.2">
      <c r="A37" s="9" t="s">
        <v>77</v>
      </c>
      <c r="B37" s="9" t="s">
        <v>78</v>
      </c>
      <c r="C37" s="9">
        <v>1</v>
      </c>
      <c r="D37" s="9">
        <v>0</v>
      </c>
      <c r="E37" s="9">
        <v>66</v>
      </c>
      <c r="F37" s="9">
        <f t="shared" si="0"/>
        <v>67</v>
      </c>
      <c r="H37" s="10">
        <v>173</v>
      </c>
      <c r="I37" s="10">
        <v>0</v>
      </c>
      <c r="J37" s="10">
        <v>207.05</v>
      </c>
      <c r="K37" s="10">
        <v>206.5</v>
      </c>
      <c r="M37" s="10">
        <v>0</v>
      </c>
      <c r="N37" s="10">
        <v>426.93011000000001</v>
      </c>
      <c r="O37" s="10">
        <v>428.91512</v>
      </c>
      <c r="Q37" s="21">
        <v>0</v>
      </c>
      <c r="R37" s="21">
        <v>2269.0700000000002</v>
      </c>
      <c r="S37" s="21">
        <v>2283.75</v>
      </c>
    </row>
    <row r="38" spans="1:19" x14ac:dyDescent="0.2">
      <c r="A38" s="9" t="s">
        <v>79</v>
      </c>
      <c r="B38" s="9" t="s">
        <v>80</v>
      </c>
      <c r="C38" s="9">
        <v>170</v>
      </c>
      <c r="D38" s="9">
        <v>0</v>
      </c>
      <c r="E38" s="9">
        <v>236</v>
      </c>
      <c r="F38" s="9">
        <f t="shared" si="0"/>
        <v>406</v>
      </c>
      <c r="H38" s="10">
        <v>80.510000000000005</v>
      </c>
      <c r="I38" s="10">
        <v>0</v>
      </c>
      <c r="J38" s="10">
        <v>92.46</v>
      </c>
      <c r="K38" s="10">
        <v>87.45</v>
      </c>
      <c r="M38" s="10">
        <v>125.39878</v>
      </c>
      <c r="N38" s="10">
        <v>123.95998</v>
      </c>
      <c r="O38" s="10">
        <v>124.57387</v>
      </c>
      <c r="Q38" s="21">
        <v>1626.06</v>
      </c>
      <c r="R38" s="21">
        <v>1489.05</v>
      </c>
      <c r="S38" s="21">
        <v>1547.51</v>
      </c>
    </row>
    <row r="39" spans="1:19" x14ac:dyDescent="0.2">
      <c r="A39" s="9" t="s">
        <v>81</v>
      </c>
      <c r="B39" s="9" t="s">
        <v>82</v>
      </c>
      <c r="C39" s="9">
        <v>11</v>
      </c>
      <c r="D39" s="9">
        <v>0</v>
      </c>
      <c r="E39" s="9">
        <v>72</v>
      </c>
      <c r="F39" s="9">
        <f t="shared" si="0"/>
        <v>83</v>
      </c>
      <c r="H39" s="10">
        <v>176.89</v>
      </c>
      <c r="I39" s="10">
        <v>0</v>
      </c>
      <c r="J39" s="10">
        <v>163.15</v>
      </c>
      <c r="K39" s="10">
        <v>164.89</v>
      </c>
      <c r="M39" s="10">
        <v>604.23487</v>
      </c>
      <c r="N39" s="10">
        <v>343.41640999999998</v>
      </c>
      <c r="O39" s="10">
        <v>376.47790000000003</v>
      </c>
      <c r="Q39" s="21">
        <v>3161.36</v>
      </c>
      <c r="R39" s="21">
        <v>2194.6</v>
      </c>
      <c r="S39" s="21">
        <v>2317.15</v>
      </c>
    </row>
    <row r="40" spans="1:19" x14ac:dyDescent="0.2">
      <c r="A40" s="9" t="s">
        <v>83</v>
      </c>
      <c r="B40" s="9" t="s">
        <v>84</v>
      </c>
      <c r="C40" s="9">
        <v>41</v>
      </c>
      <c r="D40" s="9">
        <v>0</v>
      </c>
      <c r="E40" s="9">
        <v>92</v>
      </c>
      <c r="F40" s="9">
        <f t="shared" si="0"/>
        <v>133</v>
      </c>
      <c r="H40" s="10">
        <v>134.76</v>
      </c>
      <c r="I40" s="10">
        <v>0</v>
      </c>
      <c r="J40" s="10">
        <v>128.91</v>
      </c>
      <c r="K40" s="10">
        <v>130.72</v>
      </c>
      <c r="M40" s="10">
        <v>179.46051</v>
      </c>
      <c r="N40" s="10">
        <v>173.29751999999999</v>
      </c>
      <c r="O40" s="10">
        <v>175.21714</v>
      </c>
      <c r="Q40" s="21">
        <v>1535.9</v>
      </c>
      <c r="R40" s="21">
        <v>1488.87</v>
      </c>
      <c r="S40" s="21">
        <v>1503.52</v>
      </c>
    </row>
    <row r="41" spans="1:19" x14ac:dyDescent="0.2">
      <c r="A41" s="9" t="s">
        <v>85</v>
      </c>
      <c r="B41" s="9" t="s">
        <v>86</v>
      </c>
      <c r="C41" s="9">
        <v>51</v>
      </c>
      <c r="D41" s="9">
        <v>1</v>
      </c>
      <c r="E41" s="9">
        <v>156</v>
      </c>
      <c r="F41" s="9">
        <f t="shared" si="0"/>
        <v>208</v>
      </c>
      <c r="H41" s="10">
        <v>86.23</v>
      </c>
      <c r="I41" s="10">
        <v>87</v>
      </c>
      <c r="J41" s="10">
        <v>81.790000000000006</v>
      </c>
      <c r="K41" s="10">
        <v>82.91</v>
      </c>
      <c r="M41" s="10">
        <v>179.35317999999998</v>
      </c>
      <c r="N41" s="10">
        <v>125.46257000000001</v>
      </c>
      <c r="O41" s="10">
        <v>139.22810999999999</v>
      </c>
      <c r="Q41" s="21">
        <v>2052.0500000000002</v>
      </c>
      <c r="R41" s="21">
        <v>1554.65</v>
      </c>
      <c r="S41" s="21">
        <v>1681.7</v>
      </c>
    </row>
    <row r="42" spans="1:19" x14ac:dyDescent="0.2">
      <c r="A42" s="9" t="s">
        <v>87</v>
      </c>
      <c r="B42" s="9" t="s">
        <v>88</v>
      </c>
      <c r="C42" s="9">
        <v>57</v>
      </c>
      <c r="D42" s="9">
        <v>0</v>
      </c>
      <c r="E42" s="9">
        <v>235</v>
      </c>
      <c r="F42" s="9">
        <f t="shared" si="0"/>
        <v>292</v>
      </c>
      <c r="H42" s="10">
        <v>97.69</v>
      </c>
      <c r="I42" s="10">
        <v>0</v>
      </c>
      <c r="J42" s="10">
        <v>98.67</v>
      </c>
      <c r="K42" s="10">
        <v>98.49</v>
      </c>
      <c r="M42" s="10">
        <v>187.12957</v>
      </c>
      <c r="N42" s="10">
        <v>183.07157000000001</v>
      </c>
      <c r="O42" s="10">
        <v>183.83243999999999</v>
      </c>
      <c r="Q42" s="21">
        <v>1935.65</v>
      </c>
      <c r="R42" s="21">
        <v>2022.58</v>
      </c>
      <c r="S42" s="21">
        <v>2006.28</v>
      </c>
    </row>
    <row r="43" spans="1:19" x14ac:dyDescent="0.2">
      <c r="A43" s="9" t="s">
        <v>89</v>
      </c>
      <c r="B43" s="9" t="s">
        <v>90</v>
      </c>
      <c r="C43" s="9">
        <v>38</v>
      </c>
      <c r="D43" s="9">
        <v>0</v>
      </c>
      <c r="E43" s="9">
        <v>533</v>
      </c>
      <c r="F43" s="9">
        <f t="shared" si="0"/>
        <v>571</v>
      </c>
      <c r="H43" s="10">
        <v>109.6</v>
      </c>
      <c r="I43" s="10">
        <v>0</v>
      </c>
      <c r="J43" s="10">
        <v>92.35</v>
      </c>
      <c r="K43" s="10">
        <v>93.54</v>
      </c>
      <c r="M43" s="10">
        <v>195.06244000000001</v>
      </c>
      <c r="N43" s="10">
        <v>159.69633999999999</v>
      </c>
      <c r="O43" s="10">
        <v>162.08214999999998</v>
      </c>
      <c r="Q43" s="21">
        <v>1837.21</v>
      </c>
      <c r="R43" s="21">
        <v>1838.64</v>
      </c>
      <c r="S43" s="21">
        <v>1838.54</v>
      </c>
    </row>
    <row r="44" spans="1:19" x14ac:dyDescent="0.2">
      <c r="A44" s="9" t="s">
        <v>91</v>
      </c>
      <c r="B44" s="9" t="s">
        <v>92</v>
      </c>
      <c r="C44" s="9">
        <v>51</v>
      </c>
      <c r="D44" s="9">
        <v>2</v>
      </c>
      <c r="E44" s="9">
        <v>108</v>
      </c>
      <c r="F44" s="9">
        <f t="shared" si="0"/>
        <v>161</v>
      </c>
      <c r="H44" s="10">
        <v>93.1</v>
      </c>
      <c r="I44" s="10">
        <v>77</v>
      </c>
      <c r="J44" s="10">
        <v>99.82</v>
      </c>
      <c r="K44" s="10">
        <v>97.4</v>
      </c>
      <c r="M44" s="10">
        <v>200.33116000000001</v>
      </c>
      <c r="N44" s="10">
        <v>183.45541</v>
      </c>
      <c r="O44" s="10">
        <v>188.96814999999998</v>
      </c>
      <c r="Q44" s="21">
        <v>2518.0700000000002</v>
      </c>
      <c r="R44" s="21">
        <v>1857.8</v>
      </c>
      <c r="S44" s="21">
        <v>2073.4899999999998</v>
      </c>
    </row>
    <row r="45" spans="1:19" x14ac:dyDescent="0.2">
      <c r="A45" s="9" t="s">
        <v>93</v>
      </c>
      <c r="B45" s="9" t="s">
        <v>94</v>
      </c>
      <c r="C45" s="9">
        <v>0</v>
      </c>
      <c r="D45" s="9">
        <v>0</v>
      </c>
      <c r="E45" s="9">
        <v>0</v>
      </c>
      <c r="F45" s="9">
        <f t="shared" si="0"/>
        <v>0</v>
      </c>
      <c r="H45" s="10">
        <v>0</v>
      </c>
      <c r="I45" s="10">
        <v>0</v>
      </c>
      <c r="J45" s="10">
        <v>0</v>
      </c>
      <c r="K45" s="10">
        <v>0</v>
      </c>
      <c r="M45" s="10">
        <v>0</v>
      </c>
      <c r="N45" s="10">
        <v>0</v>
      </c>
      <c r="O45" s="10">
        <v>0</v>
      </c>
      <c r="Q45" s="21">
        <v>0</v>
      </c>
      <c r="R45" s="21">
        <v>0</v>
      </c>
      <c r="S45" s="21">
        <v>0</v>
      </c>
    </row>
    <row r="46" spans="1:19" x14ac:dyDescent="0.2">
      <c r="A46" s="9" t="s">
        <v>95</v>
      </c>
      <c r="B46" s="9" t="s">
        <v>96</v>
      </c>
      <c r="C46" s="9">
        <v>24</v>
      </c>
      <c r="D46" s="9">
        <v>4</v>
      </c>
      <c r="E46" s="9">
        <v>78</v>
      </c>
      <c r="F46" s="9">
        <f t="shared" si="0"/>
        <v>106</v>
      </c>
      <c r="H46" s="10">
        <v>80.42</v>
      </c>
      <c r="I46" s="10">
        <v>77</v>
      </c>
      <c r="J46" s="10">
        <v>81.209999999999994</v>
      </c>
      <c r="K46" s="10">
        <v>80.86</v>
      </c>
      <c r="M46" s="10">
        <v>93.32632000000001</v>
      </c>
      <c r="N46" s="10">
        <v>92.763710000000003</v>
      </c>
      <c r="O46" s="10">
        <v>92.904359999999997</v>
      </c>
      <c r="Q46" s="21">
        <v>1042.47</v>
      </c>
      <c r="R46" s="21">
        <v>1114.79</v>
      </c>
      <c r="S46" s="21">
        <v>1096.71</v>
      </c>
    </row>
    <row r="47" spans="1:19" x14ac:dyDescent="0.2">
      <c r="A47" s="9" t="s">
        <v>97</v>
      </c>
      <c r="B47" s="9" t="s">
        <v>98</v>
      </c>
      <c r="C47" s="9">
        <v>3</v>
      </c>
      <c r="D47" s="9">
        <v>0</v>
      </c>
      <c r="E47" s="9">
        <v>16</v>
      </c>
      <c r="F47" s="9">
        <f t="shared" si="0"/>
        <v>19</v>
      </c>
      <c r="H47" s="10">
        <v>55</v>
      </c>
      <c r="I47" s="10">
        <v>0</v>
      </c>
      <c r="J47" s="10">
        <v>74.2</v>
      </c>
      <c r="K47" s="10">
        <v>71.94</v>
      </c>
      <c r="M47" s="10">
        <v>60</v>
      </c>
      <c r="N47" s="10">
        <v>76.704830000000001</v>
      </c>
      <c r="O47" s="10">
        <v>74.739559999999997</v>
      </c>
      <c r="Q47" s="21">
        <v>1101.19</v>
      </c>
      <c r="R47" s="21">
        <v>1078.82</v>
      </c>
      <c r="S47" s="21">
        <v>1081.45</v>
      </c>
    </row>
    <row r="48" spans="1:19" x14ac:dyDescent="0.2">
      <c r="A48" s="9" t="s">
        <v>99</v>
      </c>
      <c r="B48" s="9" t="s">
        <v>100</v>
      </c>
      <c r="C48" s="9">
        <v>6</v>
      </c>
      <c r="D48" s="9">
        <v>0</v>
      </c>
      <c r="E48" s="9">
        <v>102</v>
      </c>
      <c r="F48" s="9">
        <f t="shared" si="0"/>
        <v>108</v>
      </c>
      <c r="H48" s="10">
        <v>186.8</v>
      </c>
      <c r="I48" s="10">
        <v>0</v>
      </c>
      <c r="J48" s="10">
        <v>108.99</v>
      </c>
      <c r="K48" s="10">
        <v>112.88</v>
      </c>
      <c r="M48" s="10">
        <v>437</v>
      </c>
      <c r="N48" s="10">
        <v>177.70885000000001</v>
      </c>
      <c r="O48" s="10">
        <v>190.80435999999997</v>
      </c>
      <c r="Q48" s="21">
        <v>2458.9</v>
      </c>
      <c r="R48" s="21">
        <v>1764.77</v>
      </c>
      <c r="S48" s="21">
        <v>1799.83</v>
      </c>
    </row>
    <row r="49" spans="1:19" x14ac:dyDescent="0.2">
      <c r="A49" s="9" t="s">
        <v>101</v>
      </c>
      <c r="B49" s="9" t="s">
        <v>102</v>
      </c>
      <c r="C49" s="9">
        <v>27</v>
      </c>
      <c r="D49" s="9">
        <v>3</v>
      </c>
      <c r="E49" s="9">
        <v>42</v>
      </c>
      <c r="F49" s="9">
        <f t="shared" si="0"/>
        <v>72</v>
      </c>
      <c r="H49" s="10">
        <v>99.08</v>
      </c>
      <c r="I49" s="10">
        <v>106</v>
      </c>
      <c r="J49" s="10">
        <v>126.03</v>
      </c>
      <c r="K49" s="10">
        <v>115.27</v>
      </c>
      <c r="M49" s="10">
        <v>99.964579999999998</v>
      </c>
      <c r="N49" s="10">
        <v>133.27257</v>
      </c>
      <c r="O49" s="10">
        <v>119.94937</v>
      </c>
      <c r="Q49" s="21">
        <v>1033.74</v>
      </c>
      <c r="R49" s="21">
        <v>1070.4000000000001</v>
      </c>
      <c r="S49" s="21">
        <v>1055.74</v>
      </c>
    </row>
    <row r="50" spans="1:19" x14ac:dyDescent="0.2">
      <c r="A50" s="9" t="s">
        <v>103</v>
      </c>
      <c r="B50" s="9" t="s">
        <v>104</v>
      </c>
      <c r="C50" s="9">
        <v>26</v>
      </c>
      <c r="D50" s="9">
        <v>0</v>
      </c>
      <c r="E50" s="9">
        <v>182</v>
      </c>
      <c r="F50" s="9">
        <f t="shared" si="0"/>
        <v>208</v>
      </c>
      <c r="H50" s="10">
        <v>153.08000000000001</v>
      </c>
      <c r="I50" s="10">
        <v>0</v>
      </c>
      <c r="J50" s="10">
        <v>133.97</v>
      </c>
      <c r="K50" s="10">
        <v>136.6</v>
      </c>
      <c r="M50" s="10">
        <v>128.64017000000001</v>
      </c>
      <c r="N50" s="10">
        <v>200.42074</v>
      </c>
      <c r="O50" s="10">
        <v>190.33266</v>
      </c>
      <c r="Q50" s="21">
        <v>991.14</v>
      </c>
      <c r="R50" s="21">
        <v>1674.45</v>
      </c>
      <c r="S50" s="21">
        <v>1578.42</v>
      </c>
    </row>
    <row r="51" spans="1:19" x14ac:dyDescent="0.2">
      <c r="A51" s="9" t="s">
        <v>105</v>
      </c>
      <c r="B51" s="9" t="s">
        <v>106</v>
      </c>
      <c r="C51" s="9">
        <v>2</v>
      </c>
      <c r="D51" s="9">
        <v>0</v>
      </c>
      <c r="E51" s="9">
        <v>98</v>
      </c>
      <c r="F51" s="9">
        <f t="shared" si="0"/>
        <v>100</v>
      </c>
      <c r="H51" s="10">
        <v>67.5</v>
      </c>
      <c r="I51" s="10">
        <v>0</v>
      </c>
      <c r="J51" s="10">
        <v>128.35</v>
      </c>
      <c r="K51" s="10">
        <v>127.01</v>
      </c>
      <c r="M51" s="10">
        <v>0</v>
      </c>
      <c r="N51" s="10">
        <v>221.18342999999999</v>
      </c>
      <c r="O51" s="10">
        <v>220.54602</v>
      </c>
      <c r="Q51" s="21">
        <v>0</v>
      </c>
      <c r="R51" s="21">
        <v>1946.51</v>
      </c>
      <c r="S51" s="21">
        <v>1977.95</v>
      </c>
    </row>
    <row r="52" spans="1:19" x14ac:dyDescent="0.2">
      <c r="A52" s="9" t="s">
        <v>107</v>
      </c>
      <c r="B52" s="9" t="s">
        <v>108</v>
      </c>
      <c r="C52" s="9">
        <v>39</v>
      </c>
      <c r="D52" s="9">
        <v>0</v>
      </c>
      <c r="E52" s="9">
        <v>457</v>
      </c>
      <c r="F52" s="9">
        <f t="shared" si="0"/>
        <v>496</v>
      </c>
      <c r="H52" s="10">
        <v>90.09</v>
      </c>
      <c r="I52" s="10">
        <v>0</v>
      </c>
      <c r="J52" s="10">
        <v>90.44</v>
      </c>
      <c r="K52" s="10">
        <v>90.41</v>
      </c>
      <c r="M52" s="10">
        <v>269.44534999999996</v>
      </c>
      <c r="N52" s="10">
        <v>279.74096000000003</v>
      </c>
      <c r="O52" s="10">
        <v>278.92498999999998</v>
      </c>
      <c r="Q52" s="21">
        <v>3061.19</v>
      </c>
      <c r="R52" s="21">
        <v>3234.92</v>
      </c>
      <c r="S52" s="21">
        <v>3221.15</v>
      </c>
    </row>
    <row r="53" spans="1:19" x14ac:dyDescent="0.2">
      <c r="A53" s="9" t="s">
        <v>109</v>
      </c>
      <c r="B53" s="9" t="s">
        <v>110</v>
      </c>
      <c r="C53" s="9">
        <v>26</v>
      </c>
      <c r="D53" s="9">
        <v>0</v>
      </c>
      <c r="E53" s="9">
        <v>356</v>
      </c>
      <c r="F53" s="9">
        <f t="shared" si="0"/>
        <v>382</v>
      </c>
      <c r="H53" s="10">
        <v>145.36000000000001</v>
      </c>
      <c r="I53" s="10">
        <v>0</v>
      </c>
      <c r="J53" s="10">
        <v>81.41</v>
      </c>
      <c r="K53" s="10">
        <v>85.65</v>
      </c>
      <c r="M53" s="10">
        <v>391.73563000000001</v>
      </c>
      <c r="N53" s="10">
        <v>154.71677</v>
      </c>
      <c r="O53" s="10">
        <v>170.07910000000001</v>
      </c>
      <c r="Q53" s="21">
        <v>2658.12</v>
      </c>
      <c r="R53" s="21">
        <v>1919.38</v>
      </c>
      <c r="S53" s="21">
        <v>1967.26</v>
      </c>
    </row>
    <row r="54" spans="1:19" x14ac:dyDescent="0.2">
      <c r="A54" s="9" t="s">
        <v>111</v>
      </c>
      <c r="B54" s="9" t="s">
        <v>112</v>
      </c>
      <c r="C54" s="9">
        <v>1</v>
      </c>
      <c r="D54" s="9">
        <v>0</v>
      </c>
      <c r="E54" s="9">
        <v>323</v>
      </c>
      <c r="F54" s="9">
        <f t="shared" si="0"/>
        <v>324</v>
      </c>
      <c r="H54" s="10">
        <v>60</v>
      </c>
      <c r="I54" s="10">
        <v>0</v>
      </c>
      <c r="J54" s="10">
        <v>96.41</v>
      </c>
      <c r="K54" s="10">
        <v>96.29</v>
      </c>
      <c r="M54" s="10">
        <v>0</v>
      </c>
      <c r="N54" s="10">
        <v>226.36101000000002</v>
      </c>
      <c r="O54" s="10">
        <v>226.22314</v>
      </c>
      <c r="Q54" s="21">
        <v>0</v>
      </c>
      <c r="R54" s="21">
        <v>2300.35</v>
      </c>
      <c r="S54" s="21">
        <v>2302.96</v>
      </c>
    </row>
    <row r="55" spans="1:19" x14ac:dyDescent="0.2">
      <c r="A55" s="9" t="s">
        <v>113</v>
      </c>
      <c r="B55" s="9" t="s">
        <v>114</v>
      </c>
      <c r="C55" s="9">
        <v>17</v>
      </c>
      <c r="D55" s="9">
        <v>0</v>
      </c>
      <c r="E55" s="9">
        <v>23</v>
      </c>
      <c r="F55" s="9">
        <f t="shared" si="0"/>
        <v>40</v>
      </c>
      <c r="H55" s="10">
        <v>114.44</v>
      </c>
      <c r="I55" s="10">
        <v>0</v>
      </c>
      <c r="J55" s="10">
        <v>143.87</v>
      </c>
      <c r="K55" s="10">
        <v>131.80000000000001</v>
      </c>
      <c r="M55" s="10">
        <v>165.80975000000001</v>
      </c>
      <c r="N55" s="10">
        <v>175.45373999999998</v>
      </c>
      <c r="O55" s="10">
        <v>171.49723</v>
      </c>
      <c r="Q55" s="21">
        <v>1444.66</v>
      </c>
      <c r="R55" s="21">
        <v>1418.5</v>
      </c>
      <c r="S55" s="21">
        <v>1429.23</v>
      </c>
    </row>
    <row r="56" spans="1:19" x14ac:dyDescent="0.2">
      <c r="A56" s="9" t="s">
        <v>115</v>
      </c>
      <c r="B56" s="9" t="s">
        <v>116</v>
      </c>
      <c r="C56" s="9">
        <v>16</v>
      </c>
      <c r="D56" s="9">
        <v>0</v>
      </c>
      <c r="E56" s="9">
        <v>21</v>
      </c>
      <c r="F56" s="9">
        <f t="shared" si="0"/>
        <v>37</v>
      </c>
      <c r="H56" s="10">
        <v>84.43</v>
      </c>
      <c r="I56" s="10">
        <v>0</v>
      </c>
      <c r="J56" s="10">
        <v>69.7</v>
      </c>
      <c r="K56" s="10">
        <v>75.77</v>
      </c>
      <c r="M56" s="10">
        <v>137.35729000000001</v>
      </c>
      <c r="N56" s="10">
        <v>104.19855</v>
      </c>
      <c r="O56" s="10">
        <v>118.26589</v>
      </c>
      <c r="Q56" s="21">
        <v>1578.49</v>
      </c>
      <c r="R56" s="21">
        <v>1559.69</v>
      </c>
      <c r="S56" s="21">
        <v>1567.67</v>
      </c>
    </row>
    <row r="57" spans="1:19" x14ac:dyDescent="0.2">
      <c r="A57" s="9" t="s">
        <v>117</v>
      </c>
      <c r="B57" s="9" t="s">
        <v>118</v>
      </c>
      <c r="C57" s="9">
        <v>12</v>
      </c>
      <c r="D57" s="9">
        <v>1</v>
      </c>
      <c r="E57" s="9">
        <v>319</v>
      </c>
      <c r="F57" s="9">
        <f t="shared" si="0"/>
        <v>332</v>
      </c>
      <c r="H57" s="10">
        <v>120.75</v>
      </c>
      <c r="I57" s="10">
        <v>75</v>
      </c>
      <c r="J57" s="10">
        <v>98.72</v>
      </c>
      <c r="K57" s="10">
        <v>99.49</v>
      </c>
      <c r="M57" s="10">
        <v>256.20582999999999</v>
      </c>
      <c r="N57" s="10">
        <v>258.85300000000001</v>
      </c>
      <c r="O57" s="10">
        <v>258.72987999999998</v>
      </c>
      <c r="Q57" s="21">
        <v>2228.9</v>
      </c>
      <c r="R57" s="21">
        <v>2459.15</v>
      </c>
      <c r="S57" s="21">
        <v>2448.44</v>
      </c>
    </row>
    <row r="58" spans="1:19" x14ac:dyDescent="0.2">
      <c r="A58" s="9" t="s">
        <v>119</v>
      </c>
      <c r="B58" s="9" t="s">
        <v>120</v>
      </c>
      <c r="C58" s="9">
        <v>16</v>
      </c>
      <c r="D58" s="9">
        <v>0</v>
      </c>
      <c r="E58" s="9">
        <v>91</v>
      </c>
      <c r="F58" s="9">
        <f t="shared" si="0"/>
        <v>107</v>
      </c>
      <c r="H58" s="10">
        <v>130.75</v>
      </c>
      <c r="I58" s="10">
        <v>0</v>
      </c>
      <c r="J58" s="10">
        <v>139.29</v>
      </c>
      <c r="K58" s="10">
        <v>138.11000000000001</v>
      </c>
      <c r="M58" s="10">
        <v>190.59417000000002</v>
      </c>
      <c r="N58" s="10">
        <v>215.21054999999998</v>
      </c>
      <c r="O58" s="10">
        <v>211.69392000000002</v>
      </c>
      <c r="Q58" s="21">
        <v>1598.58</v>
      </c>
      <c r="R58" s="21">
        <v>1736.49</v>
      </c>
      <c r="S58" s="21">
        <v>1716.79</v>
      </c>
    </row>
    <row r="59" spans="1:19" x14ac:dyDescent="0.2">
      <c r="A59" s="9" t="s">
        <v>121</v>
      </c>
      <c r="B59" s="9" t="s">
        <v>122</v>
      </c>
      <c r="C59" s="9">
        <v>40</v>
      </c>
      <c r="D59" s="9">
        <v>2</v>
      </c>
      <c r="E59" s="9">
        <v>35</v>
      </c>
      <c r="F59" s="9">
        <f t="shared" si="0"/>
        <v>77</v>
      </c>
      <c r="H59" s="10">
        <v>246</v>
      </c>
      <c r="I59" s="10">
        <v>0</v>
      </c>
      <c r="J59" s="10">
        <v>119.64</v>
      </c>
      <c r="K59" s="10">
        <v>124.5</v>
      </c>
      <c r="M59" s="10">
        <v>203.96</v>
      </c>
      <c r="N59" s="10">
        <v>90.363889999999998</v>
      </c>
      <c r="O59" s="10">
        <v>95.773229999999998</v>
      </c>
      <c r="Q59" s="21">
        <v>829.11</v>
      </c>
      <c r="R59" s="21">
        <v>821.31</v>
      </c>
      <c r="S59" s="21">
        <v>821.68</v>
      </c>
    </row>
    <row r="60" spans="1:19" x14ac:dyDescent="0.2">
      <c r="A60" s="9" t="s">
        <v>123</v>
      </c>
      <c r="B60" s="9" t="s">
        <v>124</v>
      </c>
      <c r="C60" s="9">
        <v>10</v>
      </c>
      <c r="D60" s="9">
        <v>0</v>
      </c>
      <c r="E60" s="9">
        <v>43</v>
      </c>
      <c r="F60" s="9">
        <f t="shared" si="0"/>
        <v>53</v>
      </c>
      <c r="H60" s="10">
        <v>133.43</v>
      </c>
      <c r="I60" s="10">
        <v>0</v>
      </c>
      <c r="J60" s="10">
        <v>102.47</v>
      </c>
      <c r="K60" s="10">
        <v>108.03</v>
      </c>
      <c r="M60" s="10">
        <v>78.600570000000005</v>
      </c>
      <c r="N60" s="10">
        <v>63.36251</v>
      </c>
      <c r="O60" s="10">
        <v>66.097549999999998</v>
      </c>
      <c r="Q60" s="21">
        <v>565.85</v>
      </c>
      <c r="R60" s="21">
        <v>631.16</v>
      </c>
      <c r="S60" s="21">
        <v>619.44000000000005</v>
      </c>
    </row>
    <row r="61" spans="1:19" x14ac:dyDescent="0.2">
      <c r="A61" s="9" t="s">
        <v>125</v>
      </c>
      <c r="B61" s="9" t="s">
        <v>126</v>
      </c>
      <c r="C61" s="9">
        <v>33</v>
      </c>
      <c r="D61" s="9">
        <v>0</v>
      </c>
      <c r="E61" s="9">
        <v>96</v>
      </c>
      <c r="F61" s="9">
        <f t="shared" si="0"/>
        <v>129</v>
      </c>
      <c r="H61" s="10">
        <v>146.84</v>
      </c>
      <c r="I61" s="10">
        <v>0</v>
      </c>
      <c r="J61" s="10">
        <v>137.37</v>
      </c>
      <c r="K61" s="10">
        <v>140.06</v>
      </c>
      <c r="M61" s="10">
        <v>186.72581</v>
      </c>
      <c r="N61" s="10">
        <v>186.28523000000001</v>
      </c>
      <c r="O61" s="10">
        <v>186.41052999999999</v>
      </c>
      <c r="Q61" s="21">
        <v>1422.91</v>
      </c>
      <c r="R61" s="21">
        <v>1568.22</v>
      </c>
      <c r="S61" s="21">
        <v>1526.89</v>
      </c>
    </row>
    <row r="62" spans="1:19" x14ac:dyDescent="0.2">
      <c r="A62" s="9" t="s">
        <v>127</v>
      </c>
      <c r="B62" s="9" t="s">
        <v>128</v>
      </c>
      <c r="C62" s="9">
        <v>5</v>
      </c>
      <c r="D62" s="9">
        <v>0</v>
      </c>
      <c r="E62" s="9">
        <v>457</v>
      </c>
      <c r="F62" s="9">
        <f t="shared" si="0"/>
        <v>462</v>
      </c>
      <c r="H62" s="10">
        <v>108.4</v>
      </c>
      <c r="I62" s="10">
        <v>0</v>
      </c>
      <c r="J62" s="10">
        <v>67.91</v>
      </c>
      <c r="K62" s="10">
        <v>68.39</v>
      </c>
      <c r="M62" s="10">
        <v>293.70359999999999</v>
      </c>
      <c r="N62" s="10">
        <v>148.94835</v>
      </c>
      <c r="O62" s="10">
        <v>151.79785999999999</v>
      </c>
      <c r="Q62" s="21">
        <v>2703.1</v>
      </c>
      <c r="R62" s="21">
        <v>2268.08</v>
      </c>
      <c r="S62" s="21">
        <v>2276.64</v>
      </c>
    </row>
    <row r="63" spans="1:19" x14ac:dyDescent="0.2">
      <c r="A63" s="9" t="s">
        <v>129</v>
      </c>
      <c r="B63" s="9" t="s">
        <v>130</v>
      </c>
      <c r="C63" s="9">
        <v>5</v>
      </c>
      <c r="D63" s="9">
        <v>0</v>
      </c>
      <c r="E63" s="9">
        <v>241</v>
      </c>
      <c r="F63" s="9">
        <f t="shared" si="0"/>
        <v>246</v>
      </c>
      <c r="H63" s="10">
        <v>77.599999999999994</v>
      </c>
      <c r="I63" s="10">
        <v>0</v>
      </c>
      <c r="J63" s="10">
        <v>94.82</v>
      </c>
      <c r="K63" s="10">
        <v>94.44</v>
      </c>
      <c r="M63" s="10">
        <v>119.4</v>
      </c>
      <c r="N63" s="10">
        <v>158.4391</v>
      </c>
      <c r="O63" s="10">
        <v>157.57156000000001</v>
      </c>
      <c r="Q63" s="21">
        <v>1571.98</v>
      </c>
      <c r="R63" s="21">
        <v>1797.39</v>
      </c>
      <c r="S63" s="21">
        <v>1792.38</v>
      </c>
    </row>
    <row r="64" spans="1:19" x14ac:dyDescent="0.2">
      <c r="A64" s="9" t="s">
        <v>131</v>
      </c>
      <c r="B64" s="9" t="s">
        <v>132</v>
      </c>
      <c r="C64" s="9">
        <v>27</v>
      </c>
      <c r="D64" s="9">
        <v>2</v>
      </c>
      <c r="E64" s="9">
        <v>230</v>
      </c>
      <c r="F64" s="9">
        <f t="shared" si="0"/>
        <v>259</v>
      </c>
      <c r="H64" s="10">
        <v>112.48</v>
      </c>
      <c r="I64" s="10">
        <v>71.5</v>
      </c>
      <c r="J64" s="10">
        <v>83.97</v>
      </c>
      <c r="K64" s="10">
        <v>86.49</v>
      </c>
      <c r="M64" s="10">
        <v>123.37716999999999</v>
      </c>
      <c r="N64" s="10">
        <v>118.38688999999999</v>
      </c>
      <c r="O64" s="10">
        <v>118.87530000000001</v>
      </c>
      <c r="Q64" s="21">
        <v>1313.59</v>
      </c>
      <c r="R64" s="21">
        <v>1526.35</v>
      </c>
      <c r="S64" s="21">
        <v>1505.53</v>
      </c>
    </row>
    <row r="65" spans="1:19" x14ac:dyDescent="0.2">
      <c r="A65" s="9" t="s">
        <v>133</v>
      </c>
      <c r="B65" s="9" t="s">
        <v>134</v>
      </c>
      <c r="C65" s="9">
        <v>31</v>
      </c>
      <c r="D65" s="9">
        <v>0</v>
      </c>
      <c r="E65" s="9">
        <v>68</v>
      </c>
      <c r="F65" s="9">
        <f t="shared" si="0"/>
        <v>99</v>
      </c>
      <c r="H65" s="10">
        <v>66.900000000000006</v>
      </c>
      <c r="I65" s="10">
        <v>0</v>
      </c>
      <c r="J65" s="10">
        <v>79.84</v>
      </c>
      <c r="K65" s="10">
        <v>75.62</v>
      </c>
      <c r="M65" s="10">
        <v>43.366410000000002</v>
      </c>
      <c r="N65" s="10">
        <v>71.097769999999997</v>
      </c>
      <c r="O65" s="10">
        <v>61.955559999999998</v>
      </c>
      <c r="Q65" s="21">
        <v>634.41</v>
      </c>
      <c r="R65" s="21">
        <v>924.82</v>
      </c>
      <c r="S65" s="21">
        <v>829.08</v>
      </c>
    </row>
    <row r="66" spans="1:19" x14ac:dyDescent="0.2">
      <c r="A66" s="9" t="s">
        <v>135</v>
      </c>
      <c r="B66" s="9" t="s">
        <v>136</v>
      </c>
      <c r="C66" s="9">
        <v>14</v>
      </c>
      <c r="D66" s="9">
        <v>0</v>
      </c>
      <c r="E66" s="9">
        <v>52</v>
      </c>
      <c r="F66" s="9">
        <f t="shared" si="0"/>
        <v>66</v>
      </c>
      <c r="H66" s="10">
        <v>117.78</v>
      </c>
      <c r="I66" s="10">
        <v>0</v>
      </c>
      <c r="J66" s="10">
        <v>167.57</v>
      </c>
      <c r="K66" s="10">
        <v>159.12</v>
      </c>
      <c r="M66" s="10">
        <v>180.35556</v>
      </c>
      <c r="N66" s="10">
        <v>184.05228</v>
      </c>
      <c r="O66" s="10">
        <v>183.42454000000001</v>
      </c>
      <c r="Q66" s="21">
        <v>1628.19</v>
      </c>
      <c r="R66" s="21">
        <v>1360.14</v>
      </c>
      <c r="S66" s="21">
        <v>1405.66</v>
      </c>
    </row>
    <row r="67" spans="1:19" x14ac:dyDescent="0.2">
      <c r="A67" s="9" t="s">
        <v>137</v>
      </c>
      <c r="B67" s="9" t="s">
        <v>138</v>
      </c>
      <c r="C67" s="9">
        <v>17</v>
      </c>
      <c r="D67" s="9">
        <v>0</v>
      </c>
      <c r="E67" s="9">
        <v>272</v>
      </c>
      <c r="F67" s="9">
        <f t="shared" si="0"/>
        <v>289</v>
      </c>
      <c r="H67" s="10">
        <v>91.47</v>
      </c>
      <c r="I67" s="10">
        <v>0</v>
      </c>
      <c r="J67" s="10">
        <v>91.98</v>
      </c>
      <c r="K67" s="10">
        <v>91.95</v>
      </c>
      <c r="M67" s="10">
        <v>156.97570999999999</v>
      </c>
      <c r="N67" s="10">
        <v>176.06923999999998</v>
      </c>
      <c r="O67" s="10">
        <v>174.88460000000001</v>
      </c>
      <c r="Q67" s="21">
        <v>1776.95</v>
      </c>
      <c r="R67" s="21">
        <v>1995.87</v>
      </c>
      <c r="S67" s="21">
        <v>1982.29</v>
      </c>
    </row>
    <row r="68" spans="1:19" x14ac:dyDescent="0.2">
      <c r="A68" s="9" t="s">
        <v>139</v>
      </c>
      <c r="B68" s="9" t="s">
        <v>140</v>
      </c>
      <c r="C68" s="9">
        <v>0</v>
      </c>
      <c r="D68" s="9">
        <v>0</v>
      </c>
      <c r="E68" s="9">
        <v>199</v>
      </c>
      <c r="F68" s="9">
        <f t="shared" si="0"/>
        <v>199</v>
      </c>
      <c r="H68" s="10">
        <v>0</v>
      </c>
      <c r="I68" s="10">
        <v>0</v>
      </c>
      <c r="J68" s="10">
        <v>101.04</v>
      </c>
      <c r="K68" s="10">
        <v>101.04</v>
      </c>
      <c r="M68" s="10">
        <v>0</v>
      </c>
      <c r="N68" s="10">
        <v>134.70876999999999</v>
      </c>
      <c r="O68" s="10">
        <v>134.70876999999999</v>
      </c>
      <c r="Q68" s="21">
        <v>0</v>
      </c>
      <c r="R68" s="21">
        <v>1488.71</v>
      </c>
      <c r="S68" s="21">
        <v>1488.71</v>
      </c>
    </row>
    <row r="69" spans="1:19" x14ac:dyDescent="0.2">
      <c r="A69" s="9" t="s">
        <v>141</v>
      </c>
      <c r="B69" s="9" t="s">
        <v>142</v>
      </c>
      <c r="C69" s="9">
        <v>64</v>
      </c>
      <c r="D69" s="9">
        <v>0</v>
      </c>
      <c r="E69" s="9">
        <v>231</v>
      </c>
      <c r="F69" s="9">
        <f t="shared" si="0"/>
        <v>295</v>
      </c>
      <c r="H69" s="10">
        <v>84.28</v>
      </c>
      <c r="I69" s="10">
        <v>0</v>
      </c>
      <c r="J69" s="10">
        <v>79.37</v>
      </c>
      <c r="K69" s="10">
        <v>80.47</v>
      </c>
      <c r="M69" s="10">
        <v>279.33120000000002</v>
      </c>
      <c r="N69" s="10">
        <v>239.34845000000001</v>
      </c>
      <c r="O69" s="10">
        <v>248.57523999999998</v>
      </c>
      <c r="Q69" s="21">
        <v>3265.97</v>
      </c>
      <c r="R69" s="21">
        <v>2697.39</v>
      </c>
      <c r="S69" s="21">
        <v>2828.6</v>
      </c>
    </row>
    <row r="70" spans="1:19" x14ac:dyDescent="0.2">
      <c r="A70" s="9" t="s">
        <v>143</v>
      </c>
      <c r="B70" s="9" t="s">
        <v>144</v>
      </c>
      <c r="C70" s="9">
        <v>50</v>
      </c>
      <c r="D70" s="9">
        <v>0</v>
      </c>
      <c r="E70" s="9">
        <v>292</v>
      </c>
      <c r="F70" s="9">
        <f t="shared" ref="F70:F133" si="1">SUM(C70:E70)</f>
        <v>342</v>
      </c>
      <c r="H70" s="10">
        <v>68.59</v>
      </c>
      <c r="I70" s="10">
        <v>0</v>
      </c>
      <c r="J70" s="10">
        <v>97.88</v>
      </c>
      <c r="K70" s="10">
        <v>93.36</v>
      </c>
      <c r="M70" s="10">
        <v>91.141149999999996</v>
      </c>
      <c r="N70" s="10">
        <v>99.579050000000009</v>
      </c>
      <c r="O70" s="10">
        <v>98.172730000000001</v>
      </c>
      <c r="Q70" s="21">
        <v>1342.25</v>
      </c>
      <c r="R70" s="21">
        <v>1040.03</v>
      </c>
      <c r="S70" s="21">
        <v>1090.4000000000001</v>
      </c>
    </row>
    <row r="71" spans="1:19" x14ac:dyDescent="0.2">
      <c r="A71" s="9" t="s">
        <v>145</v>
      </c>
      <c r="B71" s="9" t="s">
        <v>146</v>
      </c>
      <c r="C71" s="9">
        <v>49</v>
      </c>
      <c r="D71" s="9">
        <v>0</v>
      </c>
      <c r="E71" s="9">
        <v>118</v>
      </c>
      <c r="F71" s="9">
        <f t="shared" si="1"/>
        <v>167</v>
      </c>
      <c r="H71" s="10">
        <v>88.56</v>
      </c>
      <c r="I71" s="10">
        <v>0</v>
      </c>
      <c r="J71" s="10">
        <v>85.72</v>
      </c>
      <c r="K71" s="10">
        <v>86.13</v>
      </c>
      <c r="M71" s="10">
        <v>151.62993</v>
      </c>
      <c r="N71" s="10">
        <v>155.15801000000002</v>
      </c>
      <c r="O71" s="10">
        <v>154.63045000000002</v>
      </c>
      <c r="Q71" s="21">
        <v>1705.42</v>
      </c>
      <c r="R71" s="21">
        <v>1827.65</v>
      </c>
      <c r="S71" s="21">
        <v>1809.37</v>
      </c>
    </row>
    <row r="72" spans="1:19" x14ac:dyDescent="0.2">
      <c r="A72" s="9" t="s">
        <v>147</v>
      </c>
      <c r="B72" s="9" t="s">
        <v>148</v>
      </c>
      <c r="C72" s="9">
        <v>61</v>
      </c>
      <c r="D72" s="9">
        <v>0</v>
      </c>
      <c r="E72" s="9">
        <v>89</v>
      </c>
      <c r="F72" s="9">
        <f t="shared" si="1"/>
        <v>150</v>
      </c>
      <c r="H72" s="10">
        <v>102.67</v>
      </c>
      <c r="I72" s="10">
        <v>0</v>
      </c>
      <c r="J72" s="10">
        <v>109.67</v>
      </c>
      <c r="K72" s="10">
        <v>106.85</v>
      </c>
      <c r="M72" s="10">
        <v>189.78531000000001</v>
      </c>
      <c r="N72" s="10">
        <v>167.78526000000002</v>
      </c>
      <c r="O72" s="10">
        <v>176.64434</v>
      </c>
      <c r="Q72" s="21">
        <v>2012.42</v>
      </c>
      <c r="R72" s="21">
        <v>1592.55</v>
      </c>
      <c r="S72" s="21">
        <v>1761.63</v>
      </c>
    </row>
    <row r="73" spans="1:19" x14ac:dyDescent="0.2">
      <c r="A73" s="9" t="s">
        <v>149</v>
      </c>
      <c r="B73" s="9" t="s">
        <v>150</v>
      </c>
      <c r="C73" s="9">
        <v>58</v>
      </c>
      <c r="D73" s="9">
        <v>22</v>
      </c>
      <c r="E73" s="9">
        <v>312</v>
      </c>
      <c r="F73" s="9">
        <f t="shared" si="1"/>
        <v>392</v>
      </c>
      <c r="H73" s="10">
        <v>89.13</v>
      </c>
      <c r="I73" s="10">
        <v>78.680000000000007</v>
      </c>
      <c r="J73" s="10">
        <v>86.93</v>
      </c>
      <c r="K73" s="10">
        <v>86.77</v>
      </c>
      <c r="M73" s="10">
        <v>225.93601000000001</v>
      </c>
      <c r="N73" s="10">
        <v>257.49981000000002</v>
      </c>
      <c r="O73" s="10">
        <v>252.11087000000001</v>
      </c>
      <c r="Q73" s="21">
        <v>2647.62</v>
      </c>
      <c r="R73" s="21">
        <v>2786.51</v>
      </c>
      <c r="S73" s="21">
        <v>2762.8</v>
      </c>
    </row>
    <row r="74" spans="1:19" x14ac:dyDescent="0.2">
      <c r="A74" s="9" t="s">
        <v>151</v>
      </c>
      <c r="B74" s="9" t="s">
        <v>152</v>
      </c>
      <c r="C74" s="9">
        <v>1</v>
      </c>
      <c r="D74" s="9">
        <v>0</v>
      </c>
      <c r="E74" s="9">
        <v>70</v>
      </c>
      <c r="F74" s="9">
        <f t="shared" si="1"/>
        <v>71</v>
      </c>
      <c r="H74" s="10">
        <v>118</v>
      </c>
      <c r="I74" s="10">
        <v>0</v>
      </c>
      <c r="J74" s="10">
        <v>106.54</v>
      </c>
      <c r="K74" s="10">
        <v>106.71</v>
      </c>
      <c r="M74" s="10">
        <v>0</v>
      </c>
      <c r="N74" s="10">
        <v>141.07623000000001</v>
      </c>
      <c r="O74" s="10">
        <v>141.46643</v>
      </c>
      <c r="Q74" s="21">
        <v>0</v>
      </c>
      <c r="R74" s="21">
        <v>1406.03</v>
      </c>
      <c r="S74" s="21">
        <v>1406.29</v>
      </c>
    </row>
    <row r="75" spans="1:19" x14ac:dyDescent="0.2">
      <c r="A75" s="9" t="s">
        <v>153</v>
      </c>
      <c r="B75" s="9" t="s">
        <v>154</v>
      </c>
      <c r="C75" s="9">
        <v>215</v>
      </c>
      <c r="D75" s="9">
        <v>25</v>
      </c>
      <c r="E75" s="9">
        <v>633</v>
      </c>
      <c r="F75" s="9">
        <f t="shared" si="1"/>
        <v>873</v>
      </c>
      <c r="H75" s="10">
        <v>90.04</v>
      </c>
      <c r="I75" s="10">
        <v>79.14</v>
      </c>
      <c r="J75" s="10">
        <v>85.35</v>
      </c>
      <c r="K75" s="10">
        <v>86.29</v>
      </c>
      <c r="M75" s="10">
        <v>173.21503000000001</v>
      </c>
      <c r="N75" s="10">
        <v>154.40076000000002</v>
      </c>
      <c r="O75" s="10">
        <v>159.55459999999999</v>
      </c>
      <c r="Q75" s="21">
        <v>1967.85</v>
      </c>
      <c r="R75" s="21">
        <v>1808.38</v>
      </c>
      <c r="S75" s="21">
        <v>1852.06</v>
      </c>
    </row>
    <row r="76" spans="1:19" x14ac:dyDescent="0.2">
      <c r="A76" s="9" t="s">
        <v>155</v>
      </c>
      <c r="B76" s="9" t="s">
        <v>156</v>
      </c>
      <c r="C76" s="9">
        <v>28</v>
      </c>
      <c r="D76" s="9">
        <v>5</v>
      </c>
      <c r="E76" s="9">
        <v>451</v>
      </c>
      <c r="F76" s="9">
        <f t="shared" si="1"/>
        <v>484</v>
      </c>
      <c r="H76" s="10">
        <v>107.61</v>
      </c>
      <c r="I76" s="10">
        <v>82.25</v>
      </c>
      <c r="J76" s="10">
        <v>83.24</v>
      </c>
      <c r="K76" s="10">
        <v>84.59</v>
      </c>
      <c r="M76" s="10">
        <v>212.34073000000001</v>
      </c>
      <c r="N76" s="10">
        <v>148.9571</v>
      </c>
      <c r="O76" s="10">
        <v>152.70472000000001</v>
      </c>
      <c r="Q76" s="21">
        <v>1956.99</v>
      </c>
      <c r="R76" s="21">
        <v>1798.53</v>
      </c>
      <c r="S76" s="21">
        <v>1807.9</v>
      </c>
    </row>
    <row r="77" spans="1:19" x14ac:dyDescent="0.2">
      <c r="A77" s="9" t="s">
        <v>157</v>
      </c>
      <c r="B77" s="9" t="s">
        <v>158</v>
      </c>
      <c r="C77" s="9">
        <v>36</v>
      </c>
      <c r="D77" s="9">
        <v>0</v>
      </c>
      <c r="E77" s="9">
        <v>23</v>
      </c>
      <c r="F77" s="9">
        <f t="shared" si="1"/>
        <v>59</v>
      </c>
      <c r="H77" s="10">
        <v>82.57</v>
      </c>
      <c r="I77" s="10">
        <v>0</v>
      </c>
      <c r="J77" s="10">
        <v>105.67</v>
      </c>
      <c r="K77" s="10">
        <v>91.23</v>
      </c>
      <c r="M77" s="10">
        <v>24.030889999999999</v>
      </c>
      <c r="N77" s="10">
        <v>81.159320000000008</v>
      </c>
      <c r="O77" s="10">
        <v>44.131629999999994</v>
      </c>
      <c r="Q77" s="21">
        <v>286.67</v>
      </c>
      <c r="R77" s="21">
        <v>809.79</v>
      </c>
      <c r="S77" s="21">
        <v>470.73</v>
      </c>
    </row>
    <row r="78" spans="1:19" x14ac:dyDescent="0.2">
      <c r="A78" s="9" t="s">
        <v>159</v>
      </c>
      <c r="B78" s="9" t="s">
        <v>160</v>
      </c>
      <c r="C78" s="9">
        <v>238</v>
      </c>
      <c r="D78" s="9">
        <v>157</v>
      </c>
      <c r="E78" s="9">
        <v>1779</v>
      </c>
      <c r="F78" s="9">
        <f t="shared" si="1"/>
        <v>2174</v>
      </c>
      <c r="H78" s="10">
        <v>74.150000000000006</v>
      </c>
      <c r="I78" s="10">
        <v>78.97</v>
      </c>
      <c r="J78" s="10">
        <v>62.84</v>
      </c>
      <c r="K78" s="10">
        <v>65.319999999999993</v>
      </c>
      <c r="M78" s="10">
        <v>184.69084000000001</v>
      </c>
      <c r="N78" s="10">
        <v>135.80745000000002</v>
      </c>
      <c r="O78" s="10">
        <v>142.63958</v>
      </c>
      <c r="Q78" s="21">
        <v>2489.6999999999998</v>
      </c>
      <c r="R78" s="21">
        <v>2168.86</v>
      </c>
      <c r="S78" s="21">
        <v>2213.6999999999998</v>
      </c>
    </row>
    <row r="79" spans="1:19" x14ac:dyDescent="0.2">
      <c r="A79" s="9" t="s">
        <v>161</v>
      </c>
      <c r="B79" s="9" t="s">
        <v>162</v>
      </c>
      <c r="C79" s="9">
        <v>31</v>
      </c>
      <c r="D79" s="9">
        <v>4</v>
      </c>
      <c r="E79" s="9">
        <v>253</v>
      </c>
      <c r="F79" s="9">
        <f t="shared" si="1"/>
        <v>288</v>
      </c>
      <c r="H79" s="10">
        <v>116.17</v>
      </c>
      <c r="I79" s="10">
        <v>77.75</v>
      </c>
      <c r="J79" s="10">
        <v>93.8</v>
      </c>
      <c r="K79" s="10">
        <v>96.03</v>
      </c>
      <c r="M79" s="10">
        <v>109.96841000000001</v>
      </c>
      <c r="N79" s="10">
        <v>94.782210000000006</v>
      </c>
      <c r="O79" s="10">
        <v>96.664259999999999</v>
      </c>
      <c r="Q79" s="21">
        <v>1069.03</v>
      </c>
      <c r="R79" s="21">
        <v>1001.21</v>
      </c>
      <c r="S79" s="21">
        <v>1009.62</v>
      </c>
    </row>
    <row r="80" spans="1:19" x14ac:dyDescent="0.2">
      <c r="A80" s="9" t="s">
        <v>163</v>
      </c>
      <c r="B80" s="9" t="s">
        <v>164</v>
      </c>
      <c r="C80" s="9">
        <v>11</v>
      </c>
      <c r="D80" s="9">
        <v>3</v>
      </c>
      <c r="E80" s="9">
        <v>60</v>
      </c>
      <c r="F80" s="9">
        <f t="shared" si="1"/>
        <v>74</v>
      </c>
      <c r="H80" s="10">
        <v>79</v>
      </c>
      <c r="I80" s="10">
        <v>63.67</v>
      </c>
      <c r="J80" s="10">
        <v>76.22</v>
      </c>
      <c r="K80" s="10">
        <v>76.02</v>
      </c>
      <c r="M80" s="10">
        <v>95.888890000000004</v>
      </c>
      <c r="N80" s="10">
        <v>130.08620999999999</v>
      </c>
      <c r="O80" s="10">
        <v>123.80507</v>
      </c>
      <c r="Q80" s="21">
        <v>1283.6300000000001</v>
      </c>
      <c r="R80" s="21">
        <v>1681.62</v>
      </c>
      <c r="S80" s="21">
        <v>1608.52</v>
      </c>
    </row>
    <row r="81" spans="1:19" x14ac:dyDescent="0.2">
      <c r="A81" s="9" t="s">
        <v>165</v>
      </c>
      <c r="B81" s="9" t="s">
        <v>166</v>
      </c>
      <c r="C81" s="9">
        <v>10</v>
      </c>
      <c r="D81" s="9">
        <v>0</v>
      </c>
      <c r="E81" s="9">
        <v>34</v>
      </c>
      <c r="F81" s="9">
        <f t="shared" si="1"/>
        <v>44</v>
      </c>
      <c r="H81" s="10">
        <v>109</v>
      </c>
      <c r="I81" s="10">
        <v>0</v>
      </c>
      <c r="J81" s="10">
        <v>109.94</v>
      </c>
      <c r="K81" s="10">
        <v>109.71</v>
      </c>
      <c r="M81" s="10">
        <v>97.647199999999998</v>
      </c>
      <c r="N81" s="10">
        <v>89.932659999999998</v>
      </c>
      <c r="O81" s="10">
        <v>91.962800000000001</v>
      </c>
      <c r="Q81" s="21">
        <v>943.62</v>
      </c>
      <c r="R81" s="21">
        <v>868.7</v>
      </c>
      <c r="S81" s="21">
        <v>888.42</v>
      </c>
    </row>
    <row r="82" spans="1:19" x14ac:dyDescent="0.2">
      <c r="A82" s="9" t="s">
        <v>167</v>
      </c>
      <c r="B82" s="9" t="s">
        <v>168</v>
      </c>
      <c r="C82" s="9">
        <v>236</v>
      </c>
      <c r="D82" s="9">
        <v>100</v>
      </c>
      <c r="E82" s="9">
        <v>812</v>
      </c>
      <c r="F82" s="9">
        <f t="shared" si="1"/>
        <v>1148</v>
      </c>
      <c r="H82" s="10">
        <v>92.27</v>
      </c>
      <c r="I82" s="10">
        <v>88.18</v>
      </c>
      <c r="J82" s="10">
        <v>90</v>
      </c>
      <c r="K82" s="10">
        <v>90.36</v>
      </c>
      <c r="M82" s="10">
        <v>109.49358000000001</v>
      </c>
      <c r="N82" s="10">
        <v>83.059869999999989</v>
      </c>
      <c r="O82" s="10">
        <v>90.751809999999992</v>
      </c>
      <c r="Q82" s="21">
        <v>1148.5899999999999</v>
      </c>
      <c r="R82" s="21">
        <v>880.9</v>
      </c>
      <c r="S82" s="21">
        <v>958.8</v>
      </c>
    </row>
    <row r="83" spans="1:19" x14ac:dyDescent="0.2">
      <c r="A83" s="9" t="s">
        <v>169</v>
      </c>
      <c r="B83" s="9" t="s">
        <v>170</v>
      </c>
      <c r="C83" s="9">
        <v>18</v>
      </c>
      <c r="D83" s="9">
        <v>0</v>
      </c>
      <c r="E83" s="9">
        <v>88</v>
      </c>
      <c r="F83" s="9">
        <f t="shared" si="1"/>
        <v>106</v>
      </c>
      <c r="H83" s="10">
        <v>165.81</v>
      </c>
      <c r="I83" s="10">
        <v>0</v>
      </c>
      <c r="J83" s="10">
        <v>183.47</v>
      </c>
      <c r="K83" s="10">
        <v>180.7</v>
      </c>
      <c r="M83" s="10">
        <v>195.73107000000002</v>
      </c>
      <c r="N83" s="10">
        <v>211.88204999999999</v>
      </c>
      <c r="O83" s="10">
        <v>209.34855999999999</v>
      </c>
      <c r="Q83" s="21">
        <v>1291.76</v>
      </c>
      <c r="R83" s="21">
        <v>1314.4</v>
      </c>
      <c r="S83" s="21">
        <v>1310.85</v>
      </c>
    </row>
    <row r="84" spans="1:19" x14ac:dyDescent="0.2">
      <c r="A84" s="9" t="s">
        <v>171</v>
      </c>
      <c r="B84" s="9" t="s">
        <v>172</v>
      </c>
      <c r="C84" s="9">
        <v>5</v>
      </c>
      <c r="D84" s="9">
        <v>0</v>
      </c>
      <c r="E84" s="9">
        <v>36</v>
      </c>
      <c r="F84" s="9">
        <f t="shared" si="1"/>
        <v>41</v>
      </c>
      <c r="H84" s="10">
        <v>233.8</v>
      </c>
      <c r="I84" s="10">
        <v>0</v>
      </c>
      <c r="J84" s="10">
        <v>150.83000000000001</v>
      </c>
      <c r="K84" s="10">
        <v>161.19999999999999</v>
      </c>
      <c r="M84" s="10">
        <v>240</v>
      </c>
      <c r="N84" s="10">
        <v>219.92402999999999</v>
      </c>
      <c r="O84" s="10">
        <v>222.43352999999999</v>
      </c>
      <c r="Q84" s="21">
        <v>1057.96</v>
      </c>
      <c r="R84" s="21">
        <v>1614.12</v>
      </c>
      <c r="S84" s="21">
        <v>1544.6</v>
      </c>
    </row>
    <row r="85" spans="1:19" x14ac:dyDescent="0.2">
      <c r="A85" s="9" t="s">
        <v>173</v>
      </c>
      <c r="B85" s="9" t="s">
        <v>174</v>
      </c>
      <c r="C85" s="9">
        <v>1</v>
      </c>
      <c r="D85" s="9">
        <v>0</v>
      </c>
      <c r="E85" s="9">
        <v>59</v>
      </c>
      <c r="F85" s="9">
        <f t="shared" si="1"/>
        <v>60</v>
      </c>
      <c r="H85" s="10">
        <v>100</v>
      </c>
      <c r="I85" s="10">
        <v>0</v>
      </c>
      <c r="J85" s="10">
        <v>122.52</v>
      </c>
      <c r="K85" s="10">
        <v>122.12</v>
      </c>
      <c r="M85" s="10">
        <v>0</v>
      </c>
      <c r="N85" s="10">
        <v>180.38954999999999</v>
      </c>
      <c r="O85" s="10">
        <v>180.33885999999998</v>
      </c>
      <c r="Q85" s="21">
        <v>0</v>
      </c>
      <c r="R85" s="21">
        <v>1642.6</v>
      </c>
      <c r="S85" s="21">
        <v>1644.92</v>
      </c>
    </row>
    <row r="86" spans="1:19" x14ac:dyDescent="0.2">
      <c r="A86" s="9" t="s">
        <v>175</v>
      </c>
      <c r="B86" s="9" t="s">
        <v>176</v>
      </c>
      <c r="C86" s="9">
        <v>9</v>
      </c>
      <c r="D86" s="9">
        <v>0</v>
      </c>
      <c r="E86" s="9">
        <v>374</v>
      </c>
      <c r="F86" s="9">
        <f t="shared" si="1"/>
        <v>383</v>
      </c>
      <c r="H86" s="10">
        <v>120.86</v>
      </c>
      <c r="I86" s="10">
        <v>0</v>
      </c>
      <c r="J86" s="10">
        <v>80.569999999999993</v>
      </c>
      <c r="K86" s="10">
        <v>81.38</v>
      </c>
      <c r="M86" s="10">
        <v>218.71429000000001</v>
      </c>
      <c r="N86" s="10">
        <v>139.57882999999998</v>
      </c>
      <c r="O86" s="10">
        <v>141.18914000000001</v>
      </c>
      <c r="Q86" s="21">
        <v>1703.25</v>
      </c>
      <c r="R86" s="21">
        <v>1814.07</v>
      </c>
      <c r="S86" s="21">
        <v>1811.81</v>
      </c>
    </row>
    <row r="87" spans="1:19" x14ac:dyDescent="0.2">
      <c r="A87" s="9" t="s">
        <v>177</v>
      </c>
      <c r="B87" s="9" t="s">
        <v>178</v>
      </c>
      <c r="C87" s="9">
        <v>7</v>
      </c>
      <c r="D87" s="9">
        <v>0</v>
      </c>
      <c r="E87" s="9">
        <v>50</v>
      </c>
      <c r="F87" s="9">
        <f t="shared" si="1"/>
        <v>57</v>
      </c>
      <c r="H87" s="10">
        <v>81.83</v>
      </c>
      <c r="I87" s="10">
        <v>0</v>
      </c>
      <c r="J87" s="10">
        <v>119.18</v>
      </c>
      <c r="K87" s="10">
        <v>114.79</v>
      </c>
      <c r="M87" s="10">
        <v>90.166669999999996</v>
      </c>
      <c r="N87" s="10">
        <v>106.49130000000001</v>
      </c>
      <c r="O87" s="10">
        <v>104.57075999999999</v>
      </c>
      <c r="Q87" s="21">
        <v>1119.8699999999999</v>
      </c>
      <c r="R87" s="21">
        <v>995.99</v>
      </c>
      <c r="S87" s="21">
        <v>1010.56</v>
      </c>
    </row>
    <row r="88" spans="1:19" x14ac:dyDescent="0.2">
      <c r="A88" s="9" t="s">
        <v>179</v>
      </c>
      <c r="B88" s="9" t="s">
        <v>180</v>
      </c>
      <c r="C88" s="9">
        <v>66</v>
      </c>
      <c r="D88" s="9">
        <v>0</v>
      </c>
      <c r="E88" s="9">
        <v>143</v>
      </c>
      <c r="F88" s="9">
        <f t="shared" si="1"/>
        <v>209</v>
      </c>
      <c r="H88" s="10">
        <v>85.82</v>
      </c>
      <c r="I88" s="10">
        <v>0</v>
      </c>
      <c r="J88" s="10">
        <v>79.14</v>
      </c>
      <c r="K88" s="10">
        <v>81.17</v>
      </c>
      <c r="M88" s="10">
        <v>134.67834999999999</v>
      </c>
      <c r="N88" s="10">
        <v>112.50785999999999</v>
      </c>
      <c r="O88" s="10">
        <v>119.40786</v>
      </c>
      <c r="Q88" s="21">
        <v>1648.32</v>
      </c>
      <c r="R88" s="21">
        <v>1446.62</v>
      </c>
      <c r="S88" s="21">
        <v>1509.39</v>
      </c>
    </row>
    <row r="89" spans="1:19" x14ac:dyDescent="0.2">
      <c r="A89" s="9" t="s">
        <v>181</v>
      </c>
      <c r="B89" s="9" t="s">
        <v>182</v>
      </c>
      <c r="C89" s="9">
        <v>4</v>
      </c>
      <c r="D89" s="9">
        <v>0</v>
      </c>
      <c r="E89" s="9">
        <v>113</v>
      </c>
      <c r="F89" s="9">
        <f t="shared" si="1"/>
        <v>117</v>
      </c>
      <c r="H89" s="10">
        <v>88.25</v>
      </c>
      <c r="I89" s="10">
        <v>0</v>
      </c>
      <c r="J89" s="10">
        <v>107.97</v>
      </c>
      <c r="K89" s="10">
        <v>107.19</v>
      </c>
      <c r="M89" s="10">
        <v>74.670500000000004</v>
      </c>
      <c r="N89" s="10">
        <v>88.395889999999994</v>
      </c>
      <c r="O89" s="10">
        <v>87.852310000000003</v>
      </c>
      <c r="Q89" s="21">
        <v>896.31</v>
      </c>
      <c r="R89" s="21">
        <v>833.26</v>
      </c>
      <c r="S89" s="21">
        <v>835.76</v>
      </c>
    </row>
    <row r="90" spans="1:19" x14ac:dyDescent="0.2">
      <c r="A90" s="9" t="s">
        <v>183</v>
      </c>
      <c r="B90" s="9" t="s">
        <v>184</v>
      </c>
      <c r="C90" s="9">
        <v>169</v>
      </c>
      <c r="D90" s="9">
        <v>7</v>
      </c>
      <c r="E90" s="9">
        <v>448</v>
      </c>
      <c r="F90" s="9">
        <f t="shared" si="1"/>
        <v>624</v>
      </c>
      <c r="H90" s="10">
        <v>86.68</v>
      </c>
      <c r="I90" s="10">
        <v>83.57</v>
      </c>
      <c r="J90" s="10">
        <v>93.31</v>
      </c>
      <c r="K90" s="10">
        <v>91.6</v>
      </c>
      <c r="M90" s="10">
        <v>78.916589999999999</v>
      </c>
      <c r="N90" s="10">
        <v>91.875590000000003</v>
      </c>
      <c r="O90" s="10">
        <v>88.672520000000006</v>
      </c>
      <c r="Q90" s="21">
        <v>999.56</v>
      </c>
      <c r="R90" s="21">
        <v>968.28</v>
      </c>
      <c r="S90" s="21">
        <v>976.01</v>
      </c>
    </row>
    <row r="91" spans="1:19" x14ac:dyDescent="0.2">
      <c r="A91" s="9" t="s">
        <v>185</v>
      </c>
      <c r="B91" s="9" t="s">
        <v>186</v>
      </c>
      <c r="C91" s="9">
        <v>0</v>
      </c>
      <c r="D91" s="9">
        <v>0</v>
      </c>
      <c r="E91" s="9">
        <v>200</v>
      </c>
      <c r="F91" s="9">
        <f t="shared" si="1"/>
        <v>200</v>
      </c>
      <c r="H91" s="10">
        <v>0</v>
      </c>
      <c r="I91" s="10">
        <v>0</v>
      </c>
      <c r="J91" s="10">
        <v>90.52</v>
      </c>
      <c r="K91" s="10">
        <v>90.52</v>
      </c>
      <c r="M91" s="10">
        <v>0</v>
      </c>
      <c r="N91" s="10">
        <v>138.64742999999999</v>
      </c>
      <c r="O91" s="10">
        <v>138.64742999999999</v>
      </c>
      <c r="Q91" s="21">
        <v>0</v>
      </c>
      <c r="R91" s="21">
        <v>1565.92</v>
      </c>
      <c r="S91" s="21">
        <v>1565.92</v>
      </c>
    </row>
    <row r="92" spans="1:19" x14ac:dyDescent="0.2">
      <c r="A92" s="9" t="s">
        <v>187</v>
      </c>
      <c r="B92" s="9" t="s">
        <v>188</v>
      </c>
      <c r="C92" s="9">
        <v>22</v>
      </c>
      <c r="D92" s="9">
        <v>0</v>
      </c>
      <c r="E92" s="9">
        <v>116</v>
      </c>
      <c r="F92" s="9">
        <f t="shared" si="1"/>
        <v>138</v>
      </c>
      <c r="H92" s="10">
        <v>86.14</v>
      </c>
      <c r="I92" s="10">
        <v>0</v>
      </c>
      <c r="J92" s="10">
        <v>100.54</v>
      </c>
      <c r="K92" s="10">
        <v>98.18</v>
      </c>
      <c r="M92" s="10">
        <v>245.97889999999998</v>
      </c>
      <c r="N92" s="10">
        <v>242.40292000000002</v>
      </c>
      <c r="O92" s="10">
        <v>242.99444</v>
      </c>
      <c r="Q92" s="21">
        <v>3110.27</v>
      </c>
      <c r="R92" s="21">
        <v>2522.56</v>
      </c>
      <c r="S92" s="21">
        <v>2619.7800000000002</v>
      </c>
    </row>
    <row r="93" spans="1:19" x14ac:dyDescent="0.2">
      <c r="A93" s="9" t="s">
        <v>189</v>
      </c>
      <c r="B93" s="9" t="s">
        <v>190</v>
      </c>
      <c r="C93" s="9">
        <v>11</v>
      </c>
      <c r="D93" s="9">
        <v>0</v>
      </c>
      <c r="E93" s="9">
        <v>51</v>
      </c>
      <c r="F93" s="9">
        <f t="shared" si="1"/>
        <v>62</v>
      </c>
      <c r="H93" s="10">
        <v>92.11</v>
      </c>
      <c r="I93" s="10">
        <v>0</v>
      </c>
      <c r="J93" s="10">
        <v>121.59</v>
      </c>
      <c r="K93" s="10">
        <v>116.58</v>
      </c>
      <c r="M93" s="10">
        <v>125.80667</v>
      </c>
      <c r="N93" s="10">
        <v>144.99676000000002</v>
      </c>
      <c r="O93" s="10">
        <v>141.73806999999999</v>
      </c>
      <c r="Q93" s="21">
        <v>1588.39</v>
      </c>
      <c r="R93" s="21">
        <v>1295.6600000000001</v>
      </c>
      <c r="S93" s="21">
        <v>1345.37</v>
      </c>
    </row>
    <row r="94" spans="1:19" x14ac:dyDescent="0.2">
      <c r="A94" s="9" t="s">
        <v>191</v>
      </c>
      <c r="B94" s="9" t="s">
        <v>192</v>
      </c>
      <c r="C94" s="9">
        <v>1</v>
      </c>
      <c r="D94" s="9">
        <v>0</v>
      </c>
      <c r="E94" s="9">
        <v>53</v>
      </c>
      <c r="F94" s="9">
        <f t="shared" si="1"/>
        <v>54</v>
      </c>
      <c r="H94" s="10">
        <v>496</v>
      </c>
      <c r="I94" s="10">
        <v>0</v>
      </c>
      <c r="J94" s="10">
        <v>216.35</v>
      </c>
      <c r="K94" s="10">
        <v>222.3</v>
      </c>
      <c r="M94" s="10">
        <v>0</v>
      </c>
      <c r="N94" s="10">
        <v>434.69959999999998</v>
      </c>
      <c r="O94" s="10">
        <v>432.89747999999997</v>
      </c>
      <c r="Q94" s="21">
        <v>0</v>
      </c>
      <c r="R94" s="21">
        <v>2310.1999999999998</v>
      </c>
      <c r="S94" s="21">
        <v>2276.06</v>
      </c>
    </row>
    <row r="95" spans="1:19" x14ac:dyDescent="0.2">
      <c r="A95" s="9" t="s">
        <v>193</v>
      </c>
      <c r="B95" s="9" t="s">
        <v>194</v>
      </c>
      <c r="C95" s="9">
        <v>201</v>
      </c>
      <c r="D95" s="9">
        <v>0</v>
      </c>
      <c r="E95" s="9">
        <v>747</v>
      </c>
      <c r="F95" s="9">
        <f t="shared" si="1"/>
        <v>948</v>
      </c>
      <c r="H95" s="10">
        <v>88.77</v>
      </c>
      <c r="I95" s="10">
        <v>0</v>
      </c>
      <c r="J95" s="10">
        <v>84.58</v>
      </c>
      <c r="K95" s="10">
        <v>85.46</v>
      </c>
      <c r="M95" s="10">
        <v>190.71072000000001</v>
      </c>
      <c r="N95" s="10">
        <v>145.42910999999998</v>
      </c>
      <c r="O95" s="10">
        <v>154.98070000000001</v>
      </c>
      <c r="Q95" s="21">
        <v>2189.83</v>
      </c>
      <c r="R95" s="21">
        <v>1698.22</v>
      </c>
      <c r="S95" s="21">
        <v>1801.92</v>
      </c>
    </row>
    <row r="96" spans="1:19" x14ac:dyDescent="0.2">
      <c r="A96" s="9" t="s">
        <v>195</v>
      </c>
      <c r="B96" s="9" t="s">
        <v>196</v>
      </c>
      <c r="C96" s="9">
        <v>11</v>
      </c>
      <c r="D96" s="9">
        <v>0</v>
      </c>
      <c r="E96" s="9">
        <v>30</v>
      </c>
      <c r="F96" s="9">
        <f t="shared" si="1"/>
        <v>41</v>
      </c>
      <c r="H96" s="10">
        <v>96.9</v>
      </c>
      <c r="I96" s="10">
        <v>0</v>
      </c>
      <c r="J96" s="10">
        <v>88.63</v>
      </c>
      <c r="K96" s="10">
        <v>90.87</v>
      </c>
      <c r="M96" s="10">
        <v>172.03399999999999</v>
      </c>
      <c r="N96" s="10">
        <v>111.68430000000001</v>
      </c>
      <c r="O96" s="10">
        <v>127.99503</v>
      </c>
      <c r="Q96" s="21">
        <v>1596.45</v>
      </c>
      <c r="R96" s="21">
        <v>1291.93</v>
      </c>
      <c r="S96" s="21">
        <v>1374.23</v>
      </c>
    </row>
    <row r="97" spans="1:19" x14ac:dyDescent="0.2">
      <c r="A97" s="9" t="s">
        <v>197</v>
      </c>
      <c r="B97" s="9" t="s">
        <v>198</v>
      </c>
      <c r="C97" s="9">
        <v>31</v>
      </c>
      <c r="D97" s="9">
        <v>0</v>
      </c>
      <c r="E97" s="9">
        <v>138</v>
      </c>
      <c r="F97" s="9">
        <f t="shared" si="1"/>
        <v>169</v>
      </c>
      <c r="H97" s="10">
        <v>94.33</v>
      </c>
      <c r="I97" s="10">
        <v>0</v>
      </c>
      <c r="J97" s="10">
        <v>93.39</v>
      </c>
      <c r="K97" s="10">
        <v>93.57</v>
      </c>
      <c r="M97" s="10">
        <v>218.07393999999999</v>
      </c>
      <c r="N97" s="10">
        <v>203.60952</v>
      </c>
      <c r="O97" s="10">
        <v>206.37342000000001</v>
      </c>
      <c r="Q97" s="21">
        <v>2326.27</v>
      </c>
      <c r="R97" s="21">
        <v>2229.7800000000002</v>
      </c>
      <c r="S97" s="21">
        <v>2248.2199999999998</v>
      </c>
    </row>
    <row r="98" spans="1:19" x14ac:dyDescent="0.2">
      <c r="A98" s="9" t="s">
        <v>199</v>
      </c>
      <c r="B98" s="9" t="s">
        <v>200</v>
      </c>
      <c r="C98" s="9">
        <v>13</v>
      </c>
      <c r="D98" s="9">
        <v>1</v>
      </c>
      <c r="E98" s="9">
        <v>103</v>
      </c>
      <c r="F98" s="9">
        <f t="shared" si="1"/>
        <v>117</v>
      </c>
      <c r="H98" s="10">
        <v>123</v>
      </c>
      <c r="I98" s="10">
        <v>0</v>
      </c>
      <c r="J98" s="10">
        <v>86.63</v>
      </c>
      <c r="K98" s="10">
        <v>90.98</v>
      </c>
      <c r="M98" s="10">
        <v>71.563639999999992</v>
      </c>
      <c r="N98" s="10">
        <v>62.0214</v>
      </c>
      <c r="O98" s="10">
        <v>63.286029999999997</v>
      </c>
      <c r="Q98" s="21">
        <v>567.41999999999996</v>
      </c>
      <c r="R98" s="21">
        <v>713.39</v>
      </c>
      <c r="S98" s="21">
        <v>694.04</v>
      </c>
    </row>
    <row r="99" spans="1:19" x14ac:dyDescent="0.2">
      <c r="A99" s="9" t="s">
        <v>201</v>
      </c>
      <c r="B99" s="9" t="s">
        <v>202</v>
      </c>
      <c r="C99" s="9">
        <v>46</v>
      </c>
      <c r="D99" s="9">
        <v>6</v>
      </c>
      <c r="E99" s="9">
        <v>285</v>
      </c>
      <c r="F99" s="9">
        <f t="shared" si="1"/>
        <v>337</v>
      </c>
      <c r="H99" s="10">
        <v>90.49</v>
      </c>
      <c r="I99" s="10">
        <v>65.83</v>
      </c>
      <c r="J99" s="10">
        <v>84.35</v>
      </c>
      <c r="K99" s="10">
        <v>84.78</v>
      </c>
      <c r="M99" s="10">
        <v>130.04487</v>
      </c>
      <c r="N99" s="10">
        <v>140.84363000000002</v>
      </c>
      <c r="O99" s="10">
        <v>139.179</v>
      </c>
      <c r="Q99" s="21">
        <v>1625.96</v>
      </c>
      <c r="R99" s="21">
        <v>1768.76</v>
      </c>
      <c r="S99" s="21">
        <v>1746.75</v>
      </c>
    </row>
    <row r="100" spans="1:19" x14ac:dyDescent="0.2">
      <c r="A100" s="9" t="s">
        <v>203</v>
      </c>
      <c r="B100" s="9" t="s">
        <v>204</v>
      </c>
      <c r="C100" s="9">
        <v>0</v>
      </c>
      <c r="D100" s="9">
        <v>1</v>
      </c>
      <c r="E100" s="9">
        <v>29</v>
      </c>
      <c r="F100" s="9">
        <f t="shared" si="1"/>
        <v>30</v>
      </c>
      <c r="H100" s="10">
        <v>0</v>
      </c>
      <c r="I100" s="10">
        <v>88</v>
      </c>
      <c r="J100" s="10">
        <v>104.43</v>
      </c>
      <c r="K100" s="10">
        <v>103.75</v>
      </c>
      <c r="M100" s="10">
        <v>0</v>
      </c>
      <c r="N100" s="10">
        <v>84.521149999999992</v>
      </c>
      <c r="O100" s="10">
        <v>84.521149999999992</v>
      </c>
      <c r="Q100" s="21">
        <v>0</v>
      </c>
      <c r="R100" s="21">
        <v>781.57</v>
      </c>
      <c r="S100" s="21">
        <v>781.57</v>
      </c>
    </row>
    <row r="101" spans="1:19" x14ac:dyDescent="0.2">
      <c r="A101" s="9" t="s">
        <v>205</v>
      </c>
      <c r="B101" s="9" t="s">
        <v>206</v>
      </c>
      <c r="C101" s="9">
        <v>84</v>
      </c>
      <c r="D101" s="9">
        <v>4</v>
      </c>
      <c r="E101" s="9">
        <v>283</v>
      </c>
      <c r="F101" s="9">
        <f t="shared" si="1"/>
        <v>371</v>
      </c>
      <c r="H101" s="10">
        <v>97.14</v>
      </c>
      <c r="I101" s="10">
        <v>77.5</v>
      </c>
      <c r="J101" s="10">
        <v>84.78</v>
      </c>
      <c r="K101" s="10">
        <v>87.81</v>
      </c>
      <c r="M101" s="10">
        <v>141.96753000000001</v>
      </c>
      <c r="N101" s="10">
        <v>135.86231000000001</v>
      </c>
      <c r="O101" s="10">
        <v>137.44295000000002</v>
      </c>
      <c r="Q101" s="21">
        <v>1520.29</v>
      </c>
      <c r="R101" s="21">
        <v>1581.58</v>
      </c>
      <c r="S101" s="21">
        <v>1565.71</v>
      </c>
    </row>
    <row r="102" spans="1:19" x14ac:dyDescent="0.2">
      <c r="A102" s="9" t="s">
        <v>207</v>
      </c>
      <c r="B102" s="9" t="s">
        <v>208</v>
      </c>
      <c r="C102" s="9">
        <v>7</v>
      </c>
      <c r="D102" s="9">
        <v>27</v>
      </c>
      <c r="E102" s="9">
        <v>59</v>
      </c>
      <c r="F102" s="9">
        <f t="shared" si="1"/>
        <v>93</v>
      </c>
      <c r="H102" s="10">
        <v>99.67</v>
      </c>
      <c r="I102" s="10">
        <v>92.41</v>
      </c>
      <c r="J102" s="10">
        <v>95.63</v>
      </c>
      <c r="K102" s="10">
        <v>94.93</v>
      </c>
      <c r="M102" s="10">
        <v>249.0849</v>
      </c>
      <c r="N102" s="10">
        <v>247.97064</v>
      </c>
      <c r="O102" s="10">
        <v>248.08207000000002</v>
      </c>
      <c r="Q102" s="21">
        <v>2542.4899999999998</v>
      </c>
      <c r="R102" s="21">
        <v>2686.37</v>
      </c>
      <c r="S102" s="21">
        <v>2671.98</v>
      </c>
    </row>
    <row r="103" spans="1:19" x14ac:dyDescent="0.2">
      <c r="A103" s="9" t="s">
        <v>209</v>
      </c>
      <c r="B103" s="9" t="s">
        <v>210</v>
      </c>
      <c r="C103" s="9">
        <v>15</v>
      </c>
      <c r="D103" s="9">
        <v>1</v>
      </c>
      <c r="E103" s="9">
        <v>27</v>
      </c>
      <c r="F103" s="9">
        <f t="shared" si="1"/>
        <v>43</v>
      </c>
      <c r="H103" s="10">
        <v>80.709999999999994</v>
      </c>
      <c r="I103" s="10">
        <v>93</v>
      </c>
      <c r="J103" s="10">
        <v>88.68</v>
      </c>
      <c r="K103" s="10">
        <v>86</v>
      </c>
      <c r="M103" s="10">
        <v>104.87428999999999</v>
      </c>
      <c r="N103" s="10">
        <v>131.65701000000001</v>
      </c>
      <c r="O103" s="10">
        <v>121.24150999999999</v>
      </c>
      <c r="Q103" s="21">
        <v>1302.33</v>
      </c>
      <c r="R103" s="21">
        <v>1486.75</v>
      </c>
      <c r="S103" s="21">
        <v>1415.03</v>
      </c>
    </row>
    <row r="104" spans="1:19" x14ac:dyDescent="0.2">
      <c r="A104" s="9" t="s">
        <v>211</v>
      </c>
      <c r="B104" s="9" t="s">
        <v>212</v>
      </c>
      <c r="C104" s="9">
        <v>18</v>
      </c>
      <c r="D104" s="9">
        <v>1</v>
      </c>
      <c r="E104" s="9">
        <v>82</v>
      </c>
      <c r="F104" s="9">
        <f t="shared" si="1"/>
        <v>101</v>
      </c>
      <c r="H104" s="10">
        <v>82.53</v>
      </c>
      <c r="I104" s="10">
        <v>0</v>
      </c>
      <c r="J104" s="10">
        <v>94.15</v>
      </c>
      <c r="K104" s="10">
        <v>91.96</v>
      </c>
      <c r="M104" s="10">
        <v>121.04706</v>
      </c>
      <c r="N104" s="10">
        <v>154.85585</v>
      </c>
      <c r="O104" s="10">
        <v>147.67148</v>
      </c>
      <c r="Q104" s="21">
        <v>1402.13</v>
      </c>
      <c r="R104" s="21">
        <v>1517.38</v>
      </c>
      <c r="S104" s="21">
        <v>1492.89</v>
      </c>
    </row>
    <row r="105" spans="1:19" x14ac:dyDescent="0.2">
      <c r="A105" s="9" t="s">
        <v>213</v>
      </c>
      <c r="B105" s="9" t="s">
        <v>214</v>
      </c>
      <c r="C105" s="9">
        <v>0</v>
      </c>
      <c r="D105" s="9">
        <v>0</v>
      </c>
      <c r="E105" s="9">
        <v>326</v>
      </c>
      <c r="F105" s="9">
        <f t="shared" si="1"/>
        <v>326</v>
      </c>
      <c r="H105" s="10">
        <v>0</v>
      </c>
      <c r="I105" s="10">
        <v>0</v>
      </c>
      <c r="J105" s="10">
        <v>94</v>
      </c>
      <c r="K105" s="10">
        <v>94</v>
      </c>
      <c r="M105" s="10">
        <v>0</v>
      </c>
      <c r="N105" s="10">
        <v>190.77907999999999</v>
      </c>
      <c r="O105" s="10">
        <v>190.77907999999999</v>
      </c>
      <c r="Q105" s="21">
        <v>0</v>
      </c>
      <c r="R105" s="21">
        <v>2097.31</v>
      </c>
      <c r="S105" s="21">
        <v>2097.31</v>
      </c>
    </row>
    <row r="106" spans="1:19" x14ac:dyDescent="0.2">
      <c r="A106" s="9" t="s">
        <v>215</v>
      </c>
      <c r="B106" s="9" t="s">
        <v>216</v>
      </c>
      <c r="C106" s="9">
        <v>3</v>
      </c>
      <c r="D106" s="9">
        <v>0</v>
      </c>
      <c r="E106" s="9">
        <v>28</v>
      </c>
      <c r="F106" s="9">
        <f t="shared" si="1"/>
        <v>31</v>
      </c>
      <c r="H106" s="10">
        <v>50</v>
      </c>
      <c r="I106" s="10">
        <v>0</v>
      </c>
      <c r="J106" s="10">
        <v>103.15</v>
      </c>
      <c r="K106" s="10">
        <v>98.32</v>
      </c>
      <c r="M106" s="10">
        <v>41.5</v>
      </c>
      <c r="N106" s="10">
        <v>63.332989999999995</v>
      </c>
      <c r="O106" s="10">
        <v>61.348169999999996</v>
      </c>
      <c r="Q106" s="21">
        <v>1059.77</v>
      </c>
      <c r="R106" s="21">
        <v>620.66999999999996</v>
      </c>
      <c r="S106" s="21">
        <v>660.59</v>
      </c>
    </row>
    <row r="107" spans="1:19" x14ac:dyDescent="0.2">
      <c r="A107" s="9" t="s">
        <v>217</v>
      </c>
      <c r="B107" s="9" t="s">
        <v>218</v>
      </c>
      <c r="C107" s="9">
        <v>6</v>
      </c>
      <c r="D107" s="9">
        <v>0</v>
      </c>
      <c r="E107" s="9">
        <v>27</v>
      </c>
      <c r="F107" s="9">
        <f t="shared" si="1"/>
        <v>33</v>
      </c>
      <c r="H107" s="10">
        <v>128</v>
      </c>
      <c r="I107" s="10">
        <v>0</v>
      </c>
      <c r="J107" s="10">
        <v>114.65</v>
      </c>
      <c r="K107" s="10">
        <v>116.8</v>
      </c>
      <c r="M107" s="10">
        <v>205</v>
      </c>
      <c r="N107" s="10">
        <v>118.98857000000001</v>
      </c>
      <c r="O107" s="10">
        <v>132.86138</v>
      </c>
      <c r="Q107" s="21">
        <v>1953.83</v>
      </c>
      <c r="R107" s="21">
        <v>1346.13</v>
      </c>
      <c r="S107" s="21">
        <v>1444.15</v>
      </c>
    </row>
    <row r="108" spans="1:19" x14ac:dyDescent="0.2">
      <c r="A108" s="9" t="s">
        <v>219</v>
      </c>
      <c r="B108" s="9" t="s">
        <v>220</v>
      </c>
      <c r="C108" s="9">
        <v>9</v>
      </c>
      <c r="D108" s="9">
        <v>1</v>
      </c>
      <c r="E108" s="9">
        <v>16</v>
      </c>
      <c r="F108" s="9">
        <f t="shared" si="1"/>
        <v>26</v>
      </c>
      <c r="H108" s="10">
        <v>97</v>
      </c>
      <c r="I108" s="10">
        <v>37</v>
      </c>
      <c r="J108" s="10">
        <v>101.73</v>
      </c>
      <c r="K108" s="10">
        <v>96.5</v>
      </c>
      <c r="M108" s="10">
        <v>55.5</v>
      </c>
      <c r="N108" s="10">
        <v>91.177639999999997</v>
      </c>
      <c r="O108" s="10">
        <v>81.663600000000002</v>
      </c>
      <c r="Q108" s="21">
        <v>559.94000000000005</v>
      </c>
      <c r="R108" s="21">
        <v>1349.66</v>
      </c>
      <c r="S108" s="21">
        <v>1139.07</v>
      </c>
    </row>
    <row r="109" spans="1:19" x14ac:dyDescent="0.2">
      <c r="A109" s="9" t="s">
        <v>221</v>
      </c>
      <c r="B109" s="9" t="s">
        <v>222</v>
      </c>
      <c r="C109" s="9">
        <v>0</v>
      </c>
      <c r="D109" s="9">
        <v>0</v>
      </c>
      <c r="E109" s="9">
        <v>164</v>
      </c>
      <c r="F109" s="9">
        <f t="shared" si="1"/>
        <v>164</v>
      </c>
      <c r="H109" s="10">
        <v>0</v>
      </c>
      <c r="I109" s="10">
        <v>0</v>
      </c>
      <c r="J109" s="10">
        <v>90.74</v>
      </c>
      <c r="K109" s="10">
        <v>90.74</v>
      </c>
      <c r="M109" s="10">
        <v>0</v>
      </c>
      <c r="N109" s="10">
        <v>130.85202000000001</v>
      </c>
      <c r="O109" s="10">
        <v>130.85202000000001</v>
      </c>
      <c r="Q109" s="21">
        <v>0</v>
      </c>
      <c r="R109" s="21">
        <v>1491.13</v>
      </c>
      <c r="S109" s="21">
        <v>1491.13</v>
      </c>
    </row>
    <row r="110" spans="1:19" x14ac:dyDescent="0.2">
      <c r="A110" s="9" t="s">
        <v>223</v>
      </c>
      <c r="B110" s="9" t="s">
        <v>224</v>
      </c>
      <c r="C110" s="9">
        <v>174</v>
      </c>
      <c r="D110" s="9">
        <v>15</v>
      </c>
      <c r="E110" s="9">
        <v>138</v>
      </c>
      <c r="F110" s="9">
        <f t="shared" si="1"/>
        <v>327</v>
      </c>
      <c r="H110" s="10">
        <v>86.65</v>
      </c>
      <c r="I110" s="10">
        <v>81.540000000000006</v>
      </c>
      <c r="J110" s="10">
        <v>85.74</v>
      </c>
      <c r="K110" s="10">
        <v>85.89</v>
      </c>
      <c r="M110" s="10">
        <v>92.511479999999992</v>
      </c>
      <c r="N110" s="10">
        <v>94.700980000000001</v>
      </c>
      <c r="O110" s="10">
        <v>93.606229999999996</v>
      </c>
      <c r="Q110" s="21">
        <v>1131.7</v>
      </c>
      <c r="R110" s="21">
        <v>1168.82</v>
      </c>
      <c r="S110" s="21">
        <v>1150.26</v>
      </c>
    </row>
    <row r="111" spans="1:19" x14ac:dyDescent="0.2">
      <c r="A111" s="9" t="s">
        <v>225</v>
      </c>
      <c r="B111" s="9" t="s">
        <v>226</v>
      </c>
      <c r="C111" s="9">
        <v>7</v>
      </c>
      <c r="D111" s="9">
        <v>0</v>
      </c>
      <c r="E111" s="9">
        <v>61</v>
      </c>
      <c r="F111" s="9">
        <f t="shared" si="1"/>
        <v>68</v>
      </c>
      <c r="H111" s="10">
        <v>118.57</v>
      </c>
      <c r="I111" s="10">
        <v>0</v>
      </c>
      <c r="J111" s="10">
        <v>107</v>
      </c>
      <c r="K111" s="10">
        <v>108.29</v>
      </c>
      <c r="M111" s="10">
        <v>121.00071000000001</v>
      </c>
      <c r="N111" s="10">
        <v>117.50861</v>
      </c>
      <c r="O111" s="10">
        <v>117.90288000000001</v>
      </c>
      <c r="Q111" s="21">
        <v>1137.81</v>
      </c>
      <c r="R111" s="21">
        <v>1213.68</v>
      </c>
      <c r="S111" s="21">
        <v>1205.1099999999999</v>
      </c>
    </row>
    <row r="112" spans="1:19" x14ac:dyDescent="0.2">
      <c r="A112" s="9" t="s">
        <v>227</v>
      </c>
      <c r="B112" s="9" t="s">
        <v>228</v>
      </c>
      <c r="C112" s="9">
        <v>61</v>
      </c>
      <c r="D112" s="9">
        <v>1</v>
      </c>
      <c r="E112" s="9">
        <v>324</v>
      </c>
      <c r="F112" s="9">
        <f t="shared" si="1"/>
        <v>386</v>
      </c>
      <c r="H112" s="10">
        <v>112.94</v>
      </c>
      <c r="I112" s="10">
        <v>33</v>
      </c>
      <c r="J112" s="10">
        <v>95.61</v>
      </c>
      <c r="K112" s="10">
        <v>98.13</v>
      </c>
      <c r="M112" s="10">
        <v>308.73260999999997</v>
      </c>
      <c r="N112" s="10">
        <v>173.64906999999999</v>
      </c>
      <c r="O112" s="10">
        <v>195.35892000000001</v>
      </c>
      <c r="Q112" s="21">
        <v>2615.4699999999998</v>
      </c>
      <c r="R112" s="21">
        <v>1906.55</v>
      </c>
      <c r="S112" s="21">
        <v>2020.48</v>
      </c>
    </row>
    <row r="113" spans="1:19" x14ac:dyDescent="0.2">
      <c r="A113" s="9" t="s">
        <v>229</v>
      </c>
      <c r="B113" s="9" t="s">
        <v>230</v>
      </c>
      <c r="C113" s="9">
        <v>71</v>
      </c>
      <c r="D113" s="9">
        <v>1</v>
      </c>
      <c r="E113" s="9">
        <v>185</v>
      </c>
      <c r="F113" s="9">
        <f t="shared" si="1"/>
        <v>257</v>
      </c>
      <c r="H113" s="10">
        <v>84.47</v>
      </c>
      <c r="I113" s="10">
        <v>90</v>
      </c>
      <c r="J113" s="10">
        <v>83.7</v>
      </c>
      <c r="K113" s="10">
        <v>83.94</v>
      </c>
      <c r="M113" s="10">
        <v>185.78071</v>
      </c>
      <c r="N113" s="10">
        <v>161.76661999999999</v>
      </c>
      <c r="O113" s="10">
        <v>168.71284</v>
      </c>
      <c r="Q113" s="21">
        <v>2297.63</v>
      </c>
      <c r="R113" s="21">
        <v>2140.79</v>
      </c>
      <c r="S113" s="21">
        <v>2186.16</v>
      </c>
    </row>
    <row r="114" spans="1:19" x14ac:dyDescent="0.2">
      <c r="A114" s="9" t="s">
        <v>231</v>
      </c>
      <c r="B114" s="9" t="s">
        <v>232</v>
      </c>
      <c r="C114" s="9">
        <v>4</v>
      </c>
      <c r="D114" s="9">
        <v>0</v>
      </c>
      <c r="E114" s="9">
        <v>74</v>
      </c>
      <c r="F114" s="9">
        <f t="shared" si="1"/>
        <v>78</v>
      </c>
      <c r="H114" s="10">
        <v>221.33</v>
      </c>
      <c r="I114" s="10">
        <v>0</v>
      </c>
      <c r="J114" s="10">
        <v>134.29</v>
      </c>
      <c r="K114" s="10">
        <v>137.91999999999999</v>
      </c>
      <c r="M114" s="10">
        <v>296.66667000000001</v>
      </c>
      <c r="N114" s="10">
        <v>229.64617999999999</v>
      </c>
      <c r="O114" s="10">
        <v>232.43870000000001</v>
      </c>
      <c r="Q114" s="21">
        <v>1468.53</v>
      </c>
      <c r="R114" s="21">
        <v>1885.16</v>
      </c>
      <c r="S114" s="21">
        <v>1867.8</v>
      </c>
    </row>
    <row r="115" spans="1:19" x14ac:dyDescent="0.2">
      <c r="A115" s="9" t="s">
        <v>233</v>
      </c>
      <c r="B115" s="9" t="s">
        <v>234</v>
      </c>
      <c r="C115" s="9">
        <v>14</v>
      </c>
      <c r="D115" s="9">
        <v>1</v>
      </c>
      <c r="E115" s="9">
        <v>75</v>
      </c>
      <c r="F115" s="9">
        <f t="shared" si="1"/>
        <v>90</v>
      </c>
      <c r="H115" s="10">
        <v>93.92</v>
      </c>
      <c r="I115" s="10">
        <v>83</v>
      </c>
      <c r="J115" s="10">
        <v>106.68</v>
      </c>
      <c r="K115" s="10">
        <v>104.35</v>
      </c>
      <c r="M115" s="10">
        <v>192.7</v>
      </c>
      <c r="N115" s="10">
        <v>197.73379</v>
      </c>
      <c r="O115" s="10">
        <v>196.87085000000002</v>
      </c>
      <c r="Q115" s="21">
        <v>2124.61</v>
      </c>
      <c r="R115" s="21">
        <v>1970.49</v>
      </c>
      <c r="S115" s="21">
        <v>1996.91</v>
      </c>
    </row>
    <row r="116" spans="1:19" x14ac:dyDescent="0.2">
      <c r="A116" s="9" t="s">
        <v>235</v>
      </c>
      <c r="B116" s="9" t="s">
        <v>236</v>
      </c>
      <c r="C116" s="9">
        <v>29</v>
      </c>
      <c r="D116" s="9">
        <v>2</v>
      </c>
      <c r="E116" s="9">
        <v>106</v>
      </c>
      <c r="F116" s="9">
        <f t="shared" si="1"/>
        <v>137</v>
      </c>
      <c r="H116" s="10">
        <v>84.96</v>
      </c>
      <c r="I116" s="10">
        <v>80.5</v>
      </c>
      <c r="J116" s="10">
        <v>94.48</v>
      </c>
      <c r="K116" s="10">
        <v>92.16</v>
      </c>
      <c r="M116" s="10">
        <v>158.80337</v>
      </c>
      <c r="N116" s="10">
        <v>172.16214000000002</v>
      </c>
      <c r="O116" s="10">
        <v>169.07935000000001</v>
      </c>
      <c r="Q116" s="21">
        <v>2072.19</v>
      </c>
      <c r="R116" s="21">
        <v>1928.85</v>
      </c>
      <c r="S116" s="21">
        <v>1961.93</v>
      </c>
    </row>
    <row r="117" spans="1:19" x14ac:dyDescent="0.2">
      <c r="A117" s="9" t="s">
        <v>237</v>
      </c>
      <c r="B117" s="9" t="s">
        <v>238</v>
      </c>
      <c r="C117" s="9">
        <v>21</v>
      </c>
      <c r="D117" s="9">
        <v>0</v>
      </c>
      <c r="E117" s="9">
        <v>104</v>
      </c>
      <c r="F117" s="9">
        <f t="shared" si="1"/>
        <v>125</v>
      </c>
      <c r="H117" s="10">
        <v>120.89</v>
      </c>
      <c r="I117" s="10">
        <v>0</v>
      </c>
      <c r="J117" s="10">
        <v>120.41</v>
      </c>
      <c r="K117" s="10">
        <v>120.49</v>
      </c>
      <c r="M117" s="10">
        <v>112.54737</v>
      </c>
      <c r="N117" s="10">
        <v>121.88924</v>
      </c>
      <c r="O117" s="10">
        <v>120.29017999999999</v>
      </c>
      <c r="Q117" s="21">
        <v>1075.99</v>
      </c>
      <c r="R117" s="21">
        <v>1082.05</v>
      </c>
      <c r="S117" s="21">
        <v>1081.01</v>
      </c>
    </row>
    <row r="118" spans="1:19" x14ac:dyDescent="0.2">
      <c r="A118" s="9" t="s">
        <v>239</v>
      </c>
      <c r="B118" s="9" t="s">
        <v>240</v>
      </c>
      <c r="C118" s="9">
        <v>42</v>
      </c>
      <c r="D118" s="9">
        <v>1</v>
      </c>
      <c r="E118" s="9">
        <v>297</v>
      </c>
      <c r="F118" s="9">
        <f t="shared" si="1"/>
        <v>340</v>
      </c>
      <c r="H118" s="10">
        <v>76.67</v>
      </c>
      <c r="I118" s="10">
        <v>93</v>
      </c>
      <c r="J118" s="10">
        <v>76.09</v>
      </c>
      <c r="K118" s="10">
        <v>76.209999999999994</v>
      </c>
      <c r="M118" s="10">
        <v>111.51152999999999</v>
      </c>
      <c r="N118" s="10">
        <v>116.42433</v>
      </c>
      <c r="O118" s="10">
        <v>115.86528999999999</v>
      </c>
      <c r="Q118" s="21">
        <v>1515.76</v>
      </c>
      <c r="R118" s="21">
        <v>1588.83</v>
      </c>
      <c r="S118" s="21">
        <v>1580.52</v>
      </c>
    </row>
    <row r="119" spans="1:19" x14ac:dyDescent="0.2">
      <c r="A119" s="9" t="s">
        <v>241</v>
      </c>
      <c r="B119" s="9" t="s">
        <v>242</v>
      </c>
      <c r="C119" s="9">
        <v>5</v>
      </c>
      <c r="D119" s="9">
        <v>16</v>
      </c>
      <c r="E119" s="9">
        <v>66</v>
      </c>
      <c r="F119" s="9">
        <f t="shared" si="1"/>
        <v>87</v>
      </c>
      <c r="H119" s="10">
        <v>105.25</v>
      </c>
      <c r="I119" s="10">
        <v>80.25</v>
      </c>
      <c r="J119" s="10">
        <v>101.25</v>
      </c>
      <c r="K119" s="10">
        <v>97.25</v>
      </c>
      <c r="M119" s="10">
        <v>80</v>
      </c>
      <c r="N119" s="10">
        <v>164.44929999999999</v>
      </c>
      <c r="O119" s="10">
        <v>158.19379999999998</v>
      </c>
      <c r="Q119" s="21">
        <v>843.67</v>
      </c>
      <c r="R119" s="21">
        <v>1621.48</v>
      </c>
      <c r="S119" s="21">
        <v>1563.86</v>
      </c>
    </row>
    <row r="120" spans="1:19" x14ac:dyDescent="0.2">
      <c r="A120" s="9" t="s">
        <v>243</v>
      </c>
      <c r="B120" s="9" t="s">
        <v>244</v>
      </c>
      <c r="C120" s="9">
        <v>28</v>
      </c>
      <c r="D120" s="9">
        <v>0</v>
      </c>
      <c r="E120" s="9">
        <v>292</v>
      </c>
      <c r="F120" s="9">
        <f t="shared" si="1"/>
        <v>320</v>
      </c>
      <c r="H120" s="10">
        <v>90.32</v>
      </c>
      <c r="I120" s="10">
        <v>0</v>
      </c>
      <c r="J120" s="10">
        <v>74.959999999999994</v>
      </c>
      <c r="K120" s="10">
        <v>76.319999999999993</v>
      </c>
      <c r="M120" s="10">
        <v>248.13378</v>
      </c>
      <c r="N120" s="10">
        <v>173.42935</v>
      </c>
      <c r="O120" s="10">
        <v>180.09939000000003</v>
      </c>
      <c r="Q120" s="21">
        <v>2757.6</v>
      </c>
      <c r="R120" s="21">
        <v>2419.8000000000002</v>
      </c>
      <c r="S120" s="21">
        <v>2449.96</v>
      </c>
    </row>
    <row r="121" spans="1:19" x14ac:dyDescent="0.2">
      <c r="A121" s="9" t="s">
        <v>245</v>
      </c>
      <c r="B121" s="9" t="s">
        <v>246</v>
      </c>
      <c r="C121" s="9">
        <v>0</v>
      </c>
      <c r="D121" s="9">
        <v>0</v>
      </c>
      <c r="E121" s="9">
        <v>49</v>
      </c>
      <c r="F121" s="9">
        <f t="shared" si="1"/>
        <v>49</v>
      </c>
      <c r="H121" s="10">
        <v>0</v>
      </c>
      <c r="I121" s="10">
        <v>0</v>
      </c>
      <c r="J121" s="10">
        <v>134.93</v>
      </c>
      <c r="K121" s="10">
        <v>134.93</v>
      </c>
      <c r="M121" s="10">
        <v>0</v>
      </c>
      <c r="N121" s="10">
        <v>288.80227000000002</v>
      </c>
      <c r="O121" s="10">
        <v>288.80227000000002</v>
      </c>
      <c r="Q121" s="21">
        <v>0</v>
      </c>
      <c r="R121" s="21">
        <v>2253.1799999999998</v>
      </c>
      <c r="S121" s="21">
        <v>2253.1799999999998</v>
      </c>
    </row>
    <row r="122" spans="1:19" x14ac:dyDescent="0.2">
      <c r="A122" s="9" t="s">
        <v>247</v>
      </c>
      <c r="B122" s="9" t="s">
        <v>248</v>
      </c>
      <c r="C122" s="9">
        <v>3</v>
      </c>
      <c r="D122" s="9">
        <v>0</v>
      </c>
      <c r="E122" s="9">
        <v>136</v>
      </c>
      <c r="F122" s="9">
        <f t="shared" si="1"/>
        <v>139</v>
      </c>
      <c r="H122" s="10">
        <v>71.5</v>
      </c>
      <c r="I122" s="10">
        <v>0</v>
      </c>
      <c r="J122" s="10">
        <v>99.37</v>
      </c>
      <c r="K122" s="10">
        <v>98.95</v>
      </c>
      <c r="M122" s="10">
        <v>183.75</v>
      </c>
      <c r="N122" s="10">
        <v>213.97977</v>
      </c>
      <c r="O122" s="10">
        <v>213.51824999999999</v>
      </c>
      <c r="Q122" s="21">
        <v>2503.4699999999998</v>
      </c>
      <c r="R122" s="21">
        <v>2199.9699999999998</v>
      </c>
      <c r="S122" s="21">
        <v>2204.6</v>
      </c>
    </row>
    <row r="123" spans="1:19" x14ac:dyDescent="0.2">
      <c r="A123" s="9" t="s">
        <v>249</v>
      </c>
      <c r="B123" s="9" t="s">
        <v>250</v>
      </c>
      <c r="C123" s="9">
        <v>5</v>
      </c>
      <c r="D123" s="9">
        <v>0</v>
      </c>
      <c r="E123" s="9">
        <v>51</v>
      </c>
      <c r="F123" s="9">
        <f t="shared" si="1"/>
        <v>56</v>
      </c>
      <c r="H123" s="10">
        <v>136.25</v>
      </c>
      <c r="I123" s="10">
        <v>0</v>
      </c>
      <c r="J123" s="10">
        <v>96.19</v>
      </c>
      <c r="K123" s="10">
        <v>99.27</v>
      </c>
      <c r="M123" s="10">
        <v>353.17500000000001</v>
      </c>
      <c r="N123" s="10">
        <v>189.26345999999998</v>
      </c>
      <c r="O123" s="10">
        <v>201.87204</v>
      </c>
      <c r="Q123" s="21">
        <v>2237.84</v>
      </c>
      <c r="R123" s="21">
        <v>1897.48</v>
      </c>
      <c r="S123" s="21">
        <v>1923.66</v>
      </c>
    </row>
    <row r="124" spans="1:19" x14ac:dyDescent="0.2">
      <c r="A124" s="9" t="s">
        <v>251</v>
      </c>
      <c r="B124" s="9" t="s">
        <v>252</v>
      </c>
      <c r="C124" s="9">
        <v>91</v>
      </c>
      <c r="D124" s="9">
        <v>19</v>
      </c>
      <c r="E124" s="9">
        <v>868</v>
      </c>
      <c r="F124" s="9">
        <f t="shared" si="1"/>
        <v>978</v>
      </c>
      <c r="H124" s="10">
        <v>126.44</v>
      </c>
      <c r="I124" s="10">
        <v>77.22</v>
      </c>
      <c r="J124" s="10">
        <v>90.55</v>
      </c>
      <c r="K124" s="10">
        <v>93.72</v>
      </c>
      <c r="M124" s="10">
        <v>158.31249</v>
      </c>
      <c r="N124" s="10">
        <v>94.896129999999999</v>
      </c>
      <c r="O124" s="10">
        <v>101.76079</v>
      </c>
      <c r="Q124" s="21">
        <v>1239.78</v>
      </c>
      <c r="R124" s="21">
        <v>993.21</v>
      </c>
      <c r="S124" s="21">
        <v>1019.9</v>
      </c>
    </row>
    <row r="125" spans="1:19" x14ac:dyDescent="0.2">
      <c r="A125" s="9" t="s">
        <v>253</v>
      </c>
      <c r="B125" s="9" t="s">
        <v>254</v>
      </c>
      <c r="C125" s="9">
        <v>1</v>
      </c>
      <c r="D125" s="9">
        <v>0</v>
      </c>
      <c r="E125" s="9">
        <v>24</v>
      </c>
      <c r="F125" s="9">
        <f t="shared" si="1"/>
        <v>25</v>
      </c>
      <c r="H125" s="10">
        <v>83</v>
      </c>
      <c r="I125" s="10">
        <v>0</v>
      </c>
      <c r="J125" s="10">
        <v>78.39</v>
      </c>
      <c r="K125" s="10">
        <v>78.63</v>
      </c>
      <c r="M125" s="10">
        <v>0</v>
      </c>
      <c r="N125" s="10">
        <v>100.02678</v>
      </c>
      <c r="O125" s="10">
        <v>98.604320000000001</v>
      </c>
      <c r="Q125" s="21">
        <v>0</v>
      </c>
      <c r="R125" s="21">
        <v>1181.32</v>
      </c>
      <c r="S125" s="21">
        <v>1165.44</v>
      </c>
    </row>
    <row r="126" spans="1:19" x14ac:dyDescent="0.2">
      <c r="A126" s="9" t="s">
        <v>255</v>
      </c>
      <c r="B126" s="9" t="s">
        <v>256</v>
      </c>
      <c r="C126" s="9">
        <v>15</v>
      </c>
      <c r="D126" s="9">
        <v>3</v>
      </c>
      <c r="E126" s="9">
        <v>309</v>
      </c>
      <c r="F126" s="9">
        <f t="shared" si="1"/>
        <v>327</v>
      </c>
      <c r="H126" s="10">
        <v>81.400000000000006</v>
      </c>
      <c r="I126" s="10">
        <v>85</v>
      </c>
      <c r="J126" s="10">
        <v>75.900000000000006</v>
      </c>
      <c r="K126" s="10">
        <v>76.25</v>
      </c>
      <c r="M126" s="10">
        <v>142.03166000000002</v>
      </c>
      <c r="N126" s="10">
        <v>177.57427999999999</v>
      </c>
      <c r="O126" s="10">
        <v>175.80304999999998</v>
      </c>
      <c r="Q126" s="21">
        <v>1561.33</v>
      </c>
      <c r="R126" s="21">
        <v>2288.9299999999998</v>
      </c>
      <c r="S126" s="21">
        <v>2252.67</v>
      </c>
    </row>
    <row r="127" spans="1:19" x14ac:dyDescent="0.2">
      <c r="A127" s="9" t="s">
        <v>257</v>
      </c>
      <c r="B127" s="9" t="s">
        <v>258</v>
      </c>
      <c r="C127" s="9">
        <v>10</v>
      </c>
      <c r="D127" s="9">
        <v>0</v>
      </c>
      <c r="E127" s="9">
        <v>22</v>
      </c>
      <c r="F127" s="9">
        <f t="shared" si="1"/>
        <v>32</v>
      </c>
      <c r="H127" s="10">
        <v>129.56</v>
      </c>
      <c r="I127" s="10">
        <v>0</v>
      </c>
      <c r="J127" s="10">
        <v>121.1</v>
      </c>
      <c r="K127" s="10">
        <v>123.64</v>
      </c>
      <c r="M127" s="10">
        <v>125.20236</v>
      </c>
      <c r="N127" s="10">
        <v>130.99413999999999</v>
      </c>
      <c r="O127" s="10">
        <v>129.25660999999999</v>
      </c>
      <c r="Q127" s="21">
        <v>916.99</v>
      </c>
      <c r="R127" s="21">
        <v>1067.24</v>
      </c>
      <c r="S127" s="21">
        <v>1022.16</v>
      </c>
    </row>
    <row r="128" spans="1:19" x14ac:dyDescent="0.2">
      <c r="A128" s="9" t="s">
        <v>259</v>
      </c>
      <c r="B128" s="9" t="s">
        <v>260</v>
      </c>
      <c r="C128" s="9">
        <v>4</v>
      </c>
      <c r="D128" s="9">
        <v>0</v>
      </c>
      <c r="E128" s="9">
        <v>80</v>
      </c>
      <c r="F128" s="9">
        <f t="shared" si="1"/>
        <v>84</v>
      </c>
      <c r="H128" s="10">
        <v>222.67</v>
      </c>
      <c r="I128" s="10">
        <v>0</v>
      </c>
      <c r="J128" s="10">
        <v>113.76</v>
      </c>
      <c r="K128" s="10">
        <v>118.36</v>
      </c>
      <c r="M128" s="10">
        <v>277.36667</v>
      </c>
      <c r="N128" s="10">
        <v>193.49518</v>
      </c>
      <c r="O128" s="10">
        <v>197.42666</v>
      </c>
      <c r="Q128" s="21">
        <v>1276.74</v>
      </c>
      <c r="R128" s="21">
        <v>1833.79</v>
      </c>
      <c r="S128" s="21">
        <v>1807.68</v>
      </c>
    </row>
    <row r="129" spans="1:19" x14ac:dyDescent="0.2">
      <c r="A129" s="9" t="s">
        <v>261</v>
      </c>
      <c r="B129" s="9" t="s">
        <v>262</v>
      </c>
      <c r="C129" s="9">
        <v>11</v>
      </c>
      <c r="D129" s="9">
        <v>0</v>
      </c>
      <c r="E129" s="9">
        <v>87</v>
      </c>
      <c r="F129" s="9">
        <f t="shared" si="1"/>
        <v>98</v>
      </c>
      <c r="H129" s="10">
        <v>111.2</v>
      </c>
      <c r="I129" s="10">
        <v>0</v>
      </c>
      <c r="J129" s="10">
        <v>91.1</v>
      </c>
      <c r="K129" s="10">
        <v>93.28</v>
      </c>
      <c r="M129" s="10">
        <v>225.74100000000001</v>
      </c>
      <c r="N129" s="10">
        <v>128.43948</v>
      </c>
      <c r="O129" s="10">
        <v>139.25076000000001</v>
      </c>
      <c r="Q129" s="21">
        <v>2213.19</v>
      </c>
      <c r="R129" s="21">
        <v>1489.81</v>
      </c>
      <c r="S129" s="21">
        <v>1570.19</v>
      </c>
    </row>
    <row r="130" spans="1:19" x14ac:dyDescent="0.2">
      <c r="A130" s="9" t="s">
        <v>263</v>
      </c>
      <c r="B130" s="9" t="s">
        <v>264</v>
      </c>
      <c r="C130" s="9">
        <v>6</v>
      </c>
      <c r="D130" s="9">
        <v>0</v>
      </c>
      <c r="E130" s="9">
        <v>52</v>
      </c>
      <c r="F130" s="9">
        <f t="shared" si="1"/>
        <v>58</v>
      </c>
      <c r="H130" s="10">
        <v>82.17</v>
      </c>
      <c r="I130" s="10">
        <v>0</v>
      </c>
      <c r="J130" s="10">
        <v>90.95</v>
      </c>
      <c r="K130" s="10">
        <v>89.78</v>
      </c>
      <c r="M130" s="10">
        <v>87.60078</v>
      </c>
      <c r="N130" s="10">
        <v>70.234850000000009</v>
      </c>
      <c r="O130" s="10">
        <v>72.550309999999996</v>
      </c>
      <c r="Q130" s="21">
        <v>1016.96</v>
      </c>
      <c r="R130" s="21">
        <v>821.49</v>
      </c>
      <c r="S130" s="21">
        <v>847.55</v>
      </c>
    </row>
    <row r="131" spans="1:19" x14ac:dyDescent="0.2">
      <c r="A131" s="9" t="s">
        <v>265</v>
      </c>
      <c r="B131" s="9" t="s">
        <v>266</v>
      </c>
      <c r="C131" s="9">
        <v>0</v>
      </c>
      <c r="D131" s="9">
        <v>0</v>
      </c>
      <c r="E131" s="9">
        <v>29</v>
      </c>
      <c r="F131" s="9">
        <f t="shared" si="1"/>
        <v>29</v>
      </c>
      <c r="H131" s="10">
        <v>0</v>
      </c>
      <c r="I131" s="10">
        <v>0</v>
      </c>
      <c r="J131" s="10">
        <v>130.25</v>
      </c>
      <c r="K131" s="10">
        <v>130.25</v>
      </c>
      <c r="M131" s="10">
        <v>0</v>
      </c>
      <c r="N131" s="10">
        <v>92.617580000000004</v>
      </c>
      <c r="O131" s="10">
        <v>92.617580000000004</v>
      </c>
      <c r="Q131" s="21">
        <v>0</v>
      </c>
      <c r="R131" s="21">
        <v>712.47</v>
      </c>
      <c r="S131" s="21">
        <v>712.47</v>
      </c>
    </row>
    <row r="132" spans="1:19" x14ac:dyDescent="0.2">
      <c r="A132" s="9" t="s">
        <v>267</v>
      </c>
      <c r="B132" s="9" t="s">
        <v>268</v>
      </c>
      <c r="C132" s="9">
        <v>4</v>
      </c>
      <c r="D132" s="9">
        <v>0</v>
      </c>
      <c r="E132" s="9">
        <v>483</v>
      </c>
      <c r="F132" s="9">
        <f t="shared" si="1"/>
        <v>487</v>
      </c>
      <c r="H132" s="10">
        <v>87.25</v>
      </c>
      <c r="I132" s="10">
        <v>0</v>
      </c>
      <c r="J132" s="10">
        <v>71.260000000000005</v>
      </c>
      <c r="K132" s="10">
        <v>71.41</v>
      </c>
      <c r="M132" s="10">
        <v>147.4425</v>
      </c>
      <c r="N132" s="10">
        <v>157.16967000000002</v>
      </c>
      <c r="O132" s="10">
        <v>157.07939000000002</v>
      </c>
      <c r="Q132" s="21">
        <v>1843.37</v>
      </c>
      <c r="R132" s="21">
        <v>2302.9699999999998</v>
      </c>
      <c r="S132" s="21">
        <v>2298.6999999999998</v>
      </c>
    </row>
    <row r="133" spans="1:19" x14ac:dyDescent="0.2">
      <c r="A133" s="9" t="s">
        <v>269</v>
      </c>
      <c r="B133" s="9" t="s">
        <v>270</v>
      </c>
      <c r="C133" s="9">
        <v>119</v>
      </c>
      <c r="D133" s="9">
        <v>0</v>
      </c>
      <c r="E133" s="9">
        <v>624</v>
      </c>
      <c r="F133" s="9">
        <f t="shared" si="1"/>
        <v>743</v>
      </c>
      <c r="H133" s="10">
        <v>96.73</v>
      </c>
      <c r="I133" s="10">
        <v>0</v>
      </c>
      <c r="J133" s="10">
        <v>95.29</v>
      </c>
      <c r="K133" s="10">
        <v>95.44</v>
      </c>
      <c r="M133" s="10">
        <v>151.07160000000002</v>
      </c>
      <c r="N133" s="10">
        <v>162.39581000000001</v>
      </c>
      <c r="O133" s="10">
        <v>161.12342999999998</v>
      </c>
      <c r="Q133" s="21">
        <v>1605.41</v>
      </c>
      <c r="R133" s="21">
        <v>1774.62</v>
      </c>
      <c r="S133" s="21">
        <v>1755.61</v>
      </c>
    </row>
    <row r="134" spans="1:19" x14ac:dyDescent="0.2">
      <c r="A134" s="9" t="s">
        <v>271</v>
      </c>
      <c r="B134" s="9" t="s">
        <v>272</v>
      </c>
      <c r="C134" s="9">
        <v>209</v>
      </c>
      <c r="D134" s="9">
        <v>50</v>
      </c>
      <c r="E134" s="9">
        <v>1487</v>
      </c>
      <c r="F134" s="9">
        <f t="shared" ref="F134:F197" si="2">SUM(C134:E134)</f>
        <v>1746</v>
      </c>
      <c r="H134" s="10">
        <v>94.66</v>
      </c>
      <c r="I134" s="10">
        <v>69.819999999999993</v>
      </c>
      <c r="J134" s="10">
        <v>90.42</v>
      </c>
      <c r="K134" s="10">
        <v>90.4</v>
      </c>
      <c r="M134" s="10">
        <v>183.23470999999998</v>
      </c>
      <c r="N134" s="10">
        <v>165.8081</v>
      </c>
      <c r="O134" s="10">
        <v>168.10736</v>
      </c>
      <c r="Q134" s="21">
        <v>1991.99</v>
      </c>
      <c r="R134" s="21">
        <v>1861.13</v>
      </c>
      <c r="S134" s="21">
        <v>1878.4</v>
      </c>
    </row>
    <row r="135" spans="1:19" x14ac:dyDescent="0.2">
      <c r="A135" s="9" t="s">
        <v>273</v>
      </c>
      <c r="B135" s="9" t="s">
        <v>274</v>
      </c>
      <c r="C135" s="9">
        <v>4</v>
      </c>
      <c r="D135" s="9">
        <v>0</v>
      </c>
      <c r="E135" s="9">
        <v>24</v>
      </c>
      <c r="F135" s="9">
        <f t="shared" si="2"/>
        <v>28</v>
      </c>
      <c r="H135" s="10">
        <v>54</v>
      </c>
      <c r="I135" s="10">
        <v>0</v>
      </c>
      <c r="J135" s="10">
        <v>83.64</v>
      </c>
      <c r="K135" s="10">
        <v>80.08</v>
      </c>
      <c r="M135" s="10">
        <v>83.8</v>
      </c>
      <c r="N135" s="10">
        <v>76.368899999999996</v>
      </c>
      <c r="O135" s="10">
        <v>77.260630000000006</v>
      </c>
      <c r="Q135" s="21">
        <v>1558.44</v>
      </c>
      <c r="R135" s="21">
        <v>906.69</v>
      </c>
      <c r="S135" s="21">
        <v>984.9</v>
      </c>
    </row>
    <row r="136" spans="1:19" x14ac:dyDescent="0.2">
      <c r="A136" s="9" t="s">
        <v>275</v>
      </c>
      <c r="B136" s="9" t="s">
        <v>276</v>
      </c>
      <c r="C136" s="9">
        <v>85</v>
      </c>
      <c r="D136" s="9">
        <v>13</v>
      </c>
      <c r="E136" s="9">
        <v>534</v>
      </c>
      <c r="F136" s="9">
        <f t="shared" si="2"/>
        <v>632</v>
      </c>
      <c r="H136" s="10">
        <v>74.510000000000005</v>
      </c>
      <c r="I136" s="10">
        <v>81.849999999999994</v>
      </c>
      <c r="J136" s="10">
        <v>63.42</v>
      </c>
      <c r="K136" s="10">
        <v>65.3</v>
      </c>
      <c r="M136" s="10">
        <v>131.19564000000003</v>
      </c>
      <c r="N136" s="10">
        <v>106.93489</v>
      </c>
      <c r="O136" s="10">
        <v>110.2526</v>
      </c>
      <c r="Q136" s="21">
        <v>1779.45</v>
      </c>
      <c r="R136" s="21">
        <v>1713.58</v>
      </c>
      <c r="S136" s="21">
        <v>1722.59</v>
      </c>
    </row>
    <row r="137" spans="1:19" x14ac:dyDescent="0.2">
      <c r="A137" s="9" t="s">
        <v>277</v>
      </c>
      <c r="B137" s="9" t="s">
        <v>278</v>
      </c>
      <c r="C137" s="9">
        <v>31</v>
      </c>
      <c r="D137" s="9">
        <v>11</v>
      </c>
      <c r="E137" s="9">
        <v>208</v>
      </c>
      <c r="F137" s="9">
        <f t="shared" si="2"/>
        <v>250</v>
      </c>
      <c r="H137" s="10">
        <v>97.07</v>
      </c>
      <c r="I137" s="10">
        <v>87.43</v>
      </c>
      <c r="J137" s="10">
        <v>78.819999999999993</v>
      </c>
      <c r="K137" s="10">
        <v>81.61</v>
      </c>
      <c r="M137" s="10">
        <v>131.56545</v>
      </c>
      <c r="N137" s="10">
        <v>73.015919999999994</v>
      </c>
      <c r="O137" s="10">
        <v>83.92577</v>
      </c>
      <c r="Q137" s="21">
        <v>1407.48</v>
      </c>
      <c r="R137" s="21">
        <v>883.53</v>
      </c>
      <c r="S137" s="21">
        <v>981.16</v>
      </c>
    </row>
    <row r="138" spans="1:19" x14ac:dyDescent="0.2">
      <c r="A138" s="9" t="s">
        <v>279</v>
      </c>
      <c r="B138" s="9" t="s">
        <v>280</v>
      </c>
      <c r="C138" s="9">
        <v>64</v>
      </c>
      <c r="D138" s="9">
        <v>0</v>
      </c>
      <c r="E138" s="9">
        <v>273</v>
      </c>
      <c r="F138" s="9">
        <f t="shared" si="2"/>
        <v>337</v>
      </c>
      <c r="H138" s="10">
        <v>87.08</v>
      </c>
      <c r="I138" s="10">
        <v>0</v>
      </c>
      <c r="J138" s="10">
        <v>71.73</v>
      </c>
      <c r="K138" s="10">
        <v>74.81</v>
      </c>
      <c r="M138" s="10">
        <v>218.33477999999999</v>
      </c>
      <c r="N138" s="10">
        <v>191.83500000000001</v>
      </c>
      <c r="O138" s="10">
        <v>202.40136999999999</v>
      </c>
      <c r="Q138" s="21">
        <v>2507.12</v>
      </c>
      <c r="R138" s="21">
        <v>2366.9499999999998</v>
      </c>
      <c r="S138" s="21">
        <v>2422.84</v>
      </c>
    </row>
    <row r="139" spans="1:19" x14ac:dyDescent="0.2">
      <c r="A139" s="9" t="s">
        <v>281</v>
      </c>
      <c r="B139" s="9" t="s">
        <v>282</v>
      </c>
      <c r="C139" s="9">
        <v>54</v>
      </c>
      <c r="D139" s="9">
        <v>0</v>
      </c>
      <c r="E139" s="9">
        <v>195</v>
      </c>
      <c r="F139" s="9">
        <f t="shared" si="2"/>
        <v>249</v>
      </c>
      <c r="H139" s="10">
        <v>0</v>
      </c>
      <c r="I139" s="10">
        <v>0</v>
      </c>
      <c r="J139" s="10">
        <v>85.36</v>
      </c>
      <c r="K139" s="10">
        <v>85.36</v>
      </c>
      <c r="M139" s="10">
        <v>0</v>
      </c>
      <c r="N139" s="10">
        <v>158.35329000000002</v>
      </c>
      <c r="O139" s="10">
        <v>158.35329000000002</v>
      </c>
      <c r="Q139" s="21">
        <v>0</v>
      </c>
      <c r="R139" s="21">
        <v>1869.9</v>
      </c>
      <c r="S139" s="21">
        <v>1869.9</v>
      </c>
    </row>
    <row r="140" spans="1:19" x14ac:dyDescent="0.2">
      <c r="A140" s="9" t="s">
        <v>283</v>
      </c>
      <c r="B140" s="9" t="s">
        <v>284</v>
      </c>
      <c r="C140" s="9">
        <v>16</v>
      </c>
      <c r="D140" s="9">
        <v>0</v>
      </c>
      <c r="E140" s="9">
        <v>76</v>
      </c>
      <c r="F140" s="9">
        <f t="shared" si="2"/>
        <v>92</v>
      </c>
      <c r="H140" s="10">
        <v>95.15</v>
      </c>
      <c r="I140" s="10">
        <v>0</v>
      </c>
      <c r="J140" s="10">
        <v>118.79</v>
      </c>
      <c r="K140" s="10">
        <v>114.75</v>
      </c>
      <c r="M140" s="10">
        <v>155.19230999999999</v>
      </c>
      <c r="N140" s="10">
        <v>252.40311</v>
      </c>
      <c r="O140" s="10">
        <v>235.77495000000002</v>
      </c>
      <c r="Q140" s="21">
        <v>1631.68</v>
      </c>
      <c r="R140" s="21">
        <v>2216.23</v>
      </c>
      <c r="S140" s="21">
        <v>2116.2399999999998</v>
      </c>
    </row>
    <row r="141" spans="1:19" x14ac:dyDescent="0.2">
      <c r="A141" s="9" t="s">
        <v>285</v>
      </c>
      <c r="B141" s="9" t="s">
        <v>286</v>
      </c>
      <c r="C141" s="9">
        <v>2</v>
      </c>
      <c r="D141" s="9">
        <v>0</v>
      </c>
      <c r="E141" s="9">
        <v>53</v>
      </c>
      <c r="F141" s="9">
        <f t="shared" si="2"/>
        <v>55</v>
      </c>
      <c r="H141" s="10">
        <v>183.5</v>
      </c>
      <c r="I141" s="10">
        <v>0</v>
      </c>
      <c r="J141" s="10">
        <v>151.86000000000001</v>
      </c>
      <c r="K141" s="10">
        <v>153.05000000000001</v>
      </c>
      <c r="M141" s="10">
        <v>0</v>
      </c>
      <c r="N141" s="10">
        <v>209.33104999999998</v>
      </c>
      <c r="O141" s="10">
        <v>206.33742999999998</v>
      </c>
      <c r="Q141" s="21">
        <v>0</v>
      </c>
      <c r="R141" s="21">
        <v>1544.07</v>
      </c>
      <c r="S141" s="21">
        <v>1514.38</v>
      </c>
    </row>
    <row r="142" spans="1:19" x14ac:dyDescent="0.2">
      <c r="A142" s="9" t="s">
        <v>287</v>
      </c>
      <c r="B142" s="9" t="s">
        <v>288</v>
      </c>
      <c r="C142" s="9">
        <v>174</v>
      </c>
      <c r="D142" s="9">
        <v>2</v>
      </c>
      <c r="E142" s="9">
        <v>355</v>
      </c>
      <c r="F142" s="9">
        <f t="shared" si="2"/>
        <v>531</v>
      </c>
      <c r="H142" s="10">
        <v>78.88</v>
      </c>
      <c r="I142" s="10">
        <v>57</v>
      </c>
      <c r="J142" s="10">
        <v>77.819999999999993</v>
      </c>
      <c r="K142" s="10">
        <v>78.010000000000005</v>
      </c>
      <c r="M142" s="10">
        <v>212.11473000000001</v>
      </c>
      <c r="N142" s="10">
        <v>155.65701999999999</v>
      </c>
      <c r="O142" s="10">
        <v>172.12385</v>
      </c>
      <c r="Q142" s="21">
        <v>2764.7</v>
      </c>
      <c r="R142" s="21">
        <v>2073.2199999999998</v>
      </c>
      <c r="S142" s="21">
        <v>2274.9</v>
      </c>
    </row>
    <row r="143" spans="1:19" x14ac:dyDescent="0.2">
      <c r="A143" s="9" t="s">
        <v>289</v>
      </c>
      <c r="B143" s="9" t="s">
        <v>290</v>
      </c>
      <c r="C143" s="9">
        <v>1</v>
      </c>
      <c r="D143" s="9">
        <v>0</v>
      </c>
      <c r="E143" s="9">
        <v>172</v>
      </c>
      <c r="F143" s="9">
        <f t="shared" si="2"/>
        <v>173</v>
      </c>
      <c r="H143" s="10">
        <v>68</v>
      </c>
      <c r="I143" s="10">
        <v>0</v>
      </c>
      <c r="J143" s="10">
        <v>81.510000000000005</v>
      </c>
      <c r="K143" s="10">
        <v>81.430000000000007</v>
      </c>
      <c r="M143" s="10">
        <v>0</v>
      </c>
      <c r="N143" s="10">
        <v>73.916989999999998</v>
      </c>
      <c r="O143" s="10">
        <v>73.899419999999992</v>
      </c>
      <c r="Q143" s="21">
        <v>0</v>
      </c>
      <c r="R143" s="21">
        <v>925.81</v>
      </c>
      <c r="S143" s="21">
        <v>926.52</v>
      </c>
    </row>
    <row r="144" spans="1:19" x14ac:dyDescent="0.2">
      <c r="A144" s="9" t="s">
        <v>291</v>
      </c>
      <c r="B144" s="9" t="s">
        <v>292</v>
      </c>
      <c r="C144" s="9">
        <v>21</v>
      </c>
      <c r="D144" s="9">
        <v>0</v>
      </c>
      <c r="E144" s="9">
        <v>109</v>
      </c>
      <c r="F144" s="9">
        <f t="shared" si="2"/>
        <v>130</v>
      </c>
      <c r="H144" s="10">
        <v>129.11000000000001</v>
      </c>
      <c r="I144" s="10">
        <v>0</v>
      </c>
      <c r="J144" s="10">
        <v>113.85</v>
      </c>
      <c r="K144" s="10">
        <v>116.27</v>
      </c>
      <c r="M144" s="10">
        <v>162.16728000000001</v>
      </c>
      <c r="N144" s="10">
        <v>128.24438000000001</v>
      </c>
      <c r="O144" s="10">
        <v>133.70654000000002</v>
      </c>
      <c r="Q144" s="21">
        <v>1462.66</v>
      </c>
      <c r="R144" s="21">
        <v>1242.8699999999999</v>
      </c>
      <c r="S144" s="21">
        <v>1278.26</v>
      </c>
    </row>
    <row r="145" spans="1:19" x14ac:dyDescent="0.2">
      <c r="A145" s="9" t="s">
        <v>293</v>
      </c>
      <c r="B145" s="9" t="s">
        <v>294</v>
      </c>
      <c r="C145" s="9">
        <v>289</v>
      </c>
      <c r="D145" s="9">
        <v>2</v>
      </c>
      <c r="E145" s="9">
        <v>561</v>
      </c>
      <c r="F145" s="9">
        <f t="shared" si="2"/>
        <v>852</v>
      </c>
      <c r="H145" s="10">
        <v>125.61</v>
      </c>
      <c r="I145" s="10">
        <v>94</v>
      </c>
      <c r="J145" s="10">
        <v>115.34</v>
      </c>
      <c r="K145" s="10">
        <v>118.57</v>
      </c>
      <c r="M145" s="10">
        <v>402.20852000000002</v>
      </c>
      <c r="N145" s="10">
        <v>390.45390000000003</v>
      </c>
      <c r="O145" s="10">
        <v>394.24468999999999</v>
      </c>
      <c r="Q145" s="21">
        <v>3396.27</v>
      </c>
      <c r="R145" s="21">
        <v>3660.77</v>
      </c>
      <c r="S145" s="21">
        <v>3575.47</v>
      </c>
    </row>
    <row r="146" spans="1:19" x14ac:dyDescent="0.2">
      <c r="A146" s="9" t="s">
        <v>295</v>
      </c>
      <c r="B146" s="9" t="s">
        <v>296</v>
      </c>
      <c r="C146" s="9">
        <v>1</v>
      </c>
      <c r="D146" s="9">
        <v>0</v>
      </c>
      <c r="E146" s="9">
        <v>55</v>
      </c>
      <c r="F146" s="9">
        <f t="shared" si="2"/>
        <v>56</v>
      </c>
      <c r="H146" s="10">
        <v>185</v>
      </c>
      <c r="I146" s="10">
        <v>0</v>
      </c>
      <c r="J146" s="10">
        <v>146.38</v>
      </c>
      <c r="K146" s="10">
        <v>147.11000000000001</v>
      </c>
      <c r="M146" s="10">
        <v>0</v>
      </c>
      <c r="N146" s="10">
        <v>203.29318000000001</v>
      </c>
      <c r="O146" s="10">
        <v>203.90293</v>
      </c>
      <c r="Q146" s="21">
        <v>0</v>
      </c>
      <c r="R146" s="21">
        <v>1560.05</v>
      </c>
      <c r="S146" s="21">
        <v>1554.48</v>
      </c>
    </row>
    <row r="147" spans="1:19" x14ac:dyDescent="0.2">
      <c r="A147" s="9" t="s">
        <v>297</v>
      </c>
      <c r="B147" s="9" t="s">
        <v>298</v>
      </c>
      <c r="C147" s="9">
        <v>14</v>
      </c>
      <c r="D147" s="9">
        <v>0</v>
      </c>
      <c r="E147" s="9">
        <v>29</v>
      </c>
      <c r="F147" s="9">
        <f t="shared" si="2"/>
        <v>43</v>
      </c>
      <c r="H147" s="10">
        <v>105.64</v>
      </c>
      <c r="I147" s="10">
        <v>0</v>
      </c>
      <c r="J147" s="10">
        <v>121.17</v>
      </c>
      <c r="K147" s="10">
        <v>116.11</v>
      </c>
      <c r="M147" s="10">
        <v>93.782920000000004</v>
      </c>
      <c r="N147" s="10">
        <v>134.46960000000001</v>
      </c>
      <c r="O147" s="10">
        <v>121.56895</v>
      </c>
      <c r="Q147" s="21">
        <v>1078.96</v>
      </c>
      <c r="R147" s="21">
        <v>1203.3</v>
      </c>
      <c r="S147" s="21">
        <v>1163.8800000000001</v>
      </c>
    </row>
    <row r="148" spans="1:19" x14ac:dyDescent="0.2">
      <c r="A148" s="9" t="s">
        <v>299</v>
      </c>
      <c r="B148" s="9" t="s">
        <v>300</v>
      </c>
      <c r="C148" s="9">
        <v>1</v>
      </c>
      <c r="D148" s="9">
        <v>0</v>
      </c>
      <c r="E148" s="9">
        <v>288</v>
      </c>
      <c r="F148" s="9">
        <f t="shared" si="2"/>
        <v>289</v>
      </c>
      <c r="H148" s="10">
        <v>80</v>
      </c>
      <c r="I148" s="10">
        <v>0</v>
      </c>
      <c r="J148" s="10">
        <v>95.39</v>
      </c>
      <c r="K148" s="10">
        <v>95.33</v>
      </c>
      <c r="M148" s="10">
        <v>0</v>
      </c>
      <c r="N148" s="10">
        <v>170.80169000000001</v>
      </c>
      <c r="O148" s="10">
        <v>172.83171999999999</v>
      </c>
      <c r="Q148" s="21">
        <v>0</v>
      </c>
      <c r="R148" s="21">
        <v>1797.95</v>
      </c>
      <c r="S148" s="21">
        <v>1824.56</v>
      </c>
    </row>
    <row r="149" spans="1:19" x14ac:dyDescent="0.2">
      <c r="A149" s="9" t="s">
        <v>301</v>
      </c>
      <c r="B149" s="9" t="s">
        <v>302</v>
      </c>
      <c r="C149" s="9">
        <v>114</v>
      </c>
      <c r="D149" s="9">
        <v>2</v>
      </c>
      <c r="E149" s="9">
        <v>217</v>
      </c>
      <c r="F149" s="9">
        <f t="shared" si="2"/>
        <v>333</v>
      </c>
      <c r="H149" s="10">
        <v>102.14</v>
      </c>
      <c r="I149" s="10">
        <v>73</v>
      </c>
      <c r="J149" s="10">
        <v>86.32</v>
      </c>
      <c r="K149" s="10">
        <v>91.76</v>
      </c>
      <c r="M149" s="10">
        <v>284.68072999999998</v>
      </c>
      <c r="N149" s="10">
        <v>217.02017999999998</v>
      </c>
      <c r="O149" s="10">
        <v>241.82905</v>
      </c>
      <c r="Q149" s="21">
        <v>2805.51</v>
      </c>
      <c r="R149" s="21">
        <v>2523.08</v>
      </c>
      <c r="S149" s="21">
        <v>2626.64</v>
      </c>
    </row>
    <row r="150" spans="1:19" x14ac:dyDescent="0.2">
      <c r="A150" s="9" t="s">
        <v>303</v>
      </c>
      <c r="B150" s="9" t="s">
        <v>304</v>
      </c>
      <c r="C150" s="9">
        <v>10</v>
      </c>
      <c r="D150" s="9">
        <v>0</v>
      </c>
      <c r="E150" s="9">
        <v>50</v>
      </c>
      <c r="F150" s="9">
        <f t="shared" si="2"/>
        <v>60</v>
      </c>
      <c r="H150" s="10">
        <v>180.4</v>
      </c>
      <c r="I150" s="10">
        <v>0</v>
      </c>
      <c r="J150" s="10">
        <v>205.5</v>
      </c>
      <c r="K150" s="10">
        <v>201.02</v>
      </c>
      <c r="M150" s="10">
        <v>228.95</v>
      </c>
      <c r="N150" s="10">
        <v>262.83803999999998</v>
      </c>
      <c r="O150" s="10">
        <v>256.78660000000002</v>
      </c>
      <c r="Q150" s="21">
        <v>1538.21</v>
      </c>
      <c r="R150" s="21">
        <v>1494.1</v>
      </c>
      <c r="S150" s="21">
        <v>1501.98</v>
      </c>
    </row>
    <row r="151" spans="1:19" x14ac:dyDescent="0.2">
      <c r="A151" s="9" t="s">
        <v>305</v>
      </c>
      <c r="B151" s="9" t="s">
        <v>306</v>
      </c>
      <c r="C151" s="9">
        <v>21</v>
      </c>
      <c r="D151" s="9">
        <v>4</v>
      </c>
      <c r="E151" s="9">
        <v>33</v>
      </c>
      <c r="F151" s="9">
        <f t="shared" si="2"/>
        <v>58</v>
      </c>
      <c r="H151" s="10">
        <v>96</v>
      </c>
      <c r="I151" s="10">
        <v>87</v>
      </c>
      <c r="J151" s="10">
        <v>134.5</v>
      </c>
      <c r="K151" s="10">
        <v>116.29</v>
      </c>
      <c r="M151" s="10">
        <v>129.34986000000001</v>
      </c>
      <c r="N151" s="10">
        <v>203.74472</v>
      </c>
      <c r="O151" s="10">
        <v>173.31045999999998</v>
      </c>
      <c r="Q151" s="21">
        <v>1278.0899999999999</v>
      </c>
      <c r="R151" s="21">
        <v>1531.45</v>
      </c>
      <c r="S151" s="21">
        <v>1427.8</v>
      </c>
    </row>
    <row r="152" spans="1:19" x14ac:dyDescent="0.2">
      <c r="A152" s="9" t="s">
        <v>307</v>
      </c>
      <c r="B152" s="9" t="s">
        <v>308</v>
      </c>
      <c r="C152" s="9">
        <v>5</v>
      </c>
      <c r="D152" s="9">
        <v>0</v>
      </c>
      <c r="E152" s="9">
        <v>15</v>
      </c>
      <c r="F152" s="9">
        <f t="shared" si="2"/>
        <v>20</v>
      </c>
      <c r="H152" s="10">
        <v>105.25</v>
      </c>
      <c r="I152" s="10">
        <v>0</v>
      </c>
      <c r="J152" s="10">
        <v>112.5</v>
      </c>
      <c r="K152" s="10">
        <v>110.89</v>
      </c>
      <c r="M152" s="10">
        <v>82.242500000000007</v>
      </c>
      <c r="N152" s="10">
        <v>85.51061</v>
      </c>
      <c r="O152" s="10">
        <v>84.784360000000007</v>
      </c>
      <c r="Q152" s="21">
        <v>792.47</v>
      </c>
      <c r="R152" s="21">
        <v>737.94</v>
      </c>
      <c r="S152" s="21">
        <v>750.06</v>
      </c>
    </row>
    <row r="153" spans="1:19" x14ac:dyDescent="0.2">
      <c r="A153" s="9" t="s">
        <v>309</v>
      </c>
      <c r="B153" s="9" t="s">
        <v>310</v>
      </c>
      <c r="C153" s="9">
        <v>11</v>
      </c>
      <c r="D153" s="9">
        <v>0</v>
      </c>
      <c r="E153" s="9">
        <v>45</v>
      </c>
      <c r="F153" s="9">
        <f t="shared" si="2"/>
        <v>56</v>
      </c>
      <c r="H153" s="10">
        <v>72.8</v>
      </c>
      <c r="I153" s="10">
        <v>0</v>
      </c>
      <c r="J153" s="10">
        <v>92</v>
      </c>
      <c r="K153" s="10">
        <v>88.38</v>
      </c>
      <c r="M153" s="10">
        <v>75.63</v>
      </c>
      <c r="N153" s="10">
        <v>82.922560000000004</v>
      </c>
      <c r="O153" s="10">
        <v>81.546610000000001</v>
      </c>
      <c r="Q153" s="21">
        <v>1057.18</v>
      </c>
      <c r="R153" s="21">
        <v>1075.1400000000001</v>
      </c>
      <c r="S153" s="21">
        <v>1071.75</v>
      </c>
    </row>
    <row r="154" spans="1:19" x14ac:dyDescent="0.2">
      <c r="A154" s="9" t="s">
        <v>311</v>
      </c>
      <c r="B154" s="9" t="s">
        <v>312</v>
      </c>
      <c r="C154" s="9">
        <v>79</v>
      </c>
      <c r="D154" s="9">
        <v>5</v>
      </c>
      <c r="E154" s="9">
        <v>152</v>
      </c>
      <c r="F154" s="9">
        <f t="shared" si="2"/>
        <v>236</v>
      </c>
      <c r="H154" s="10">
        <v>77.86</v>
      </c>
      <c r="I154" s="10">
        <v>74.8</v>
      </c>
      <c r="J154" s="10">
        <v>74.72</v>
      </c>
      <c r="K154" s="10">
        <v>75.819999999999993</v>
      </c>
      <c r="M154" s="10">
        <v>237.25484</v>
      </c>
      <c r="N154" s="10">
        <v>206.22407999999999</v>
      </c>
      <c r="O154" s="10">
        <v>217.61702</v>
      </c>
      <c r="Q154" s="21">
        <v>3042.36</v>
      </c>
      <c r="R154" s="21">
        <v>2769.86</v>
      </c>
      <c r="S154" s="21">
        <v>2869.91</v>
      </c>
    </row>
    <row r="155" spans="1:19" x14ac:dyDescent="0.2">
      <c r="A155" s="9" t="s">
        <v>313</v>
      </c>
      <c r="B155" s="9" t="s">
        <v>314</v>
      </c>
      <c r="C155" s="9">
        <v>116</v>
      </c>
      <c r="D155" s="9">
        <v>1</v>
      </c>
      <c r="E155" s="9">
        <v>90</v>
      </c>
      <c r="F155" s="9">
        <f t="shared" si="2"/>
        <v>207</v>
      </c>
      <c r="H155" s="10">
        <v>105.36</v>
      </c>
      <c r="I155" s="10">
        <v>0</v>
      </c>
      <c r="J155" s="10">
        <v>119.15</v>
      </c>
      <c r="K155" s="10">
        <v>111.41</v>
      </c>
      <c r="M155" s="10">
        <v>233.26978</v>
      </c>
      <c r="N155" s="10">
        <v>432.25157999999999</v>
      </c>
      <c r="O155" s="10">
        <v>314.14625000000001</v>
      </c>
      <c r="Q155" s="21">
        <v>2220.91</v>
      </c>
      <c r="R155" s="21">
        <v>3615.76</v>
      </c>
      <c r="S155" s="21">
        <v>2787.85</v>
      </c>
    </row>
    <row r="156" spans="1:19" x14ac:dyDescent="0.2">
      <c r="A156" s="9" t="s">
        <v>315</v>
      </c>
      <c r="B156" s="9" t="s">
        <v>316</v>
      </c>
      <c r="C156" s="9">
        <v>11</v>
      </c>
      <c r="D156" s="9">
        <v>1</v>
      </c>
      <c r="E156" s="9">
        <v>267</v>
      </c>
      <c r="F156" s="9">
        <f t="shared" si="2"/>
        <v>279</v>
      </c>
      <c r="H156" s="10">
        <v>114.6</v>
      </c>
      <c r="I156" s="10">
        <v>90</v>
      </c>
      <c r="J156" s="10">
        <v>108.14</v>
      </c>
      <c r="K156" s="10">
        <v>108.32</v>
      </c>
      <c r="M156" s="10">
        <v>188.18979999999999</v>
      </c>
      <c r="N156" s="10">
        <v>232.46593999999999</v>
      </c>
      <c r="O156" s="10">
        <v>230.65134</v>
      </c>
      <c r="Q156" s="21">
        <v>1701.31</v>
      </c>
      <c r="R156" s="21">
        <v>2233.84</v>
      </c>
      <c r="S156" s="21">
        <v>2212.0100000000002</v>
      </c>
    </row>
    <row r="157" spans="1:19" x14ac:dyDescent="0.2">
      <c r="A157" s="9" t="s">
        <v>317</v>
      </c>
      <c r="B157" s="9" t="s">
        <v>318</v>
      </c>
      <c r="C157" s="9">
        <v>15</v>
      </c>
      <c r="D157" s="9">
        <v>0</v>
      </c>
      <c r="E157" s="9">
        <v>65</v>
      </c>
      <c r="F157" s="9">
        <f t="shared" si="2"/>
        <v>80</v>
      </c>
      <c r="H157" s="10">
        <v>84.67</v>
      </c>
      <c r="I157" s="10">
        <v>0</v>
      </c>
      <c r="J157" s="10">
        <v>115.67</v>
      </c>
      <c r="K157" s="10">
        <v>109.71</v>
      </c>
      <c r="M157" s="10">
        <v>229.31332999999998</v>
      </c>
      <c r="N157" s="10">
        <v>256.66728000000001</v>
      </c>
      <c r="O157" s="10">
        <v>251.33859000000001</v>
      </c>
      <c r="Q157" s="21">
        <v>2840.79</v>
      </c>
      <c r="R157" s="21">
        <v>2398.4299999999998</v>
      </c>
      <c r="S157" s="21">
        <v>2484.6</v>
      </c>
    </row>
    <row r="158" spans="1:19" x14ac:dyDescent="0.2">
      <c r="A158" s="9" t="s">
        <v>319</v>
      </c>
      <c r="B158" s="9" t="s">
        <v>320</v>
      </c>
      <c r="C158" s="9">
        <v>9</v>
      </c>
      <c r="D158" s="9">
        <v>0</v>
      </c>
      <c r="E158" s="9">
        <v>146</v>
      </c>
      <c r="F158" s="9">
        <f t="shared" si="2"/>
        <v>155</v>
      </c>
      <c r="H158" s="10">
        <v>73.88</v>
      </c>
      <c r="I158" s="10">
        <v>0</v>
      </c>
      <c r="J158" s="10">
        <v>140.30000000000001</v>
      </c>
      <c r="K158" s="10">
        <v>136.58000000000001</v>
      </c>
      <c r="M158" s="10">
        <v>156.34634</v>
      </c>
      <c r="N158" s="10">
        <v>305.94746000000004</v>
      </c>
      <c r="O158" s="10">
        <v>297.51922999999999</v>
      </c>
      <c r="Q158" s="21">
        <v>2009.44</v>
      </c>
      <c r="R158" s="21">
        <v>2379.42</v>
      </c>
      <c r="S158" s="21">
        <v>2358.58</v>
      </c>
    </row>
    <row r="159" spans="1:19" x14ac:dyDescent="0.2">
      <c r="A159" s="9" t="s">
        <v>321</v>
      </c>
      <c r="B159" s="9" t="s">
        <v>322</v>
      </c>
      <c r="C159" s="9">
        <v>8</v>
      </c>
      <c r="D159" s="9">
        <v>2</v>
      </c>
      <c r="E159" s="9">
        <v>46</v>
      </c>
      <c r="F159" s="9">
        <f t="shared" si="2"/>
        <v>56</v>
      </c>
      <c r="H159" s="10">
        <v>94</v>
      </c>
      <c r="I159" s="10">
        <v>85.5</v>
      </c>
      <c r="J159" s="10">
        <v>82.05</v>
      </c>
      <c r="K159" s="10">
        <v>83.59</v>
      </c>
      <c r="M159" s="10">
        <v>100.65863</v>
      </c>
      <c r="N159" s="10">
        <v>108.99347</v>
      </c>
      <c r="O159" s="10">
        <v>107.8569</v>
      </c>
      <c r="Q159" s="21">
        <v>1108.75</v>
      </c>
      <c r="R159" s="21">
        <v>1387.15</v>
      </c>
      <c r="S159" s="21">
        <v>1349.19</v>
      </c>
    </row>
    <row r="160" spans="1:19" x14ac:dyDescent="0.2">
      <c r="A160" s="9" t="s">
        <v>323</v>
      </c>
      <c r="B160" s="9" t="s">
        <v>324</v>
      </c>
      <c r="C160" s="9">
        <v>17</v>
      </c>
      <c r="D160" s="9">
        <v>1</v>
      </c>
      <c r="E160" s="9">
        <v>74</v>
      </c>
      <c r="F160" s="9">
        <f t="shared" si="2"/>
        <v>92</v>
      </c>
      <c r="H160" s="10">
        <v>78.400000000000006</v>
      </c>
      <c r="I160" s="10">
        <v>92</v>
      </c>
      <c r="J160" s="10">
        <v>81</v>
      </c>
      <c r="K160" s="10">
        <v>80.680000000000007</v>
      </c>
      <c r="M160" s="10">
        <v>85.822399999999988</v>
      </c>
      <c r="N160" s="10">
        <v>100.42309</v>
      </c>
      <c r="O160" s="10">
        <v>97.876460000000009</v>
      </c>
      <c r="Q160" s="21">
        <v>1197.45</v>
      </c>
      <c r="R160" s="21">
        <v>1235.55</v>
      </c>
      <c r="S160" s="21">
        <v>1228.9000000000001</v>
      </c>
    </row>
    <row r="161" spans="1:19" x14ac:dyDescent="0.2">
      <c r="A161" s="9" t="s">
        <v>325</v>
      </c>
      <c r="B161" s="9" t="s">
        <v>326</v>
      </c>
      <c r="C161" s="9">
        <v>11</v>
      </c>
      <c r="D161" s="9">
        <v>0</v>
      </c>
      <c r="E161" s="9">
        <v>64</v>
      </c>
      <c r="F161" s="9">
        <f t="shared" si="2"/>
        <v>75</v>
      </c>
      <c r="H161" s="10">
        <v>211.22</v>
      </c>
      <c r="I161" s="10">
        <v>0</v>
      </c>
      <c r="J161" s="10">
        <v>142.13999999999999</v>
      </c>
      <c r="K161" s="10">
        <v>151.56</v>
      </c>
      <c r="M161" s="10">
        <v>294.90722</v>
      </c>
      <c r="N161" s="10">
        <v>331.83537000000001</v>
      </c>
      <c r="O161" s="10">
        <v>326.79971</v>
      </c>
      <c r="Q161" s="21">
        <v>1661.95</v>
      </c>
      <c r="R161" s="21">
        <v>2709.29</v>
      </c>
      <c r="S161" s="21">
        <v>2566.4699999999998</v>
      </c>
    </row>
    <row r="162" spans="1:19" x14ac:dyDescent="0.2">
      <c r="A162" s="9" t="s">
        <v>327</v>
      </c>
      <c r="B162" s="9" t="s">
        <v>328</v>
      </c>
      <c r="C162" s="9">
        <v>35</v>
      </c>
      <c r="D162" s="9">
        <v>2</v>
      </c>
      <c r="E162" s="9">
        <v>157</v>
      </c>
      <c r="F162" s="9">
        <f t="shared" si="2"/>
        <v>194</v>
      </c>
      <c r="H162" s="10">
        <v>105.82</v>
      </c>
      <c r="I162" s="10">
        <v>89.5</v>
      </c>
      <c r="J162" s="10">
        <v>114.04</v>
      </c>
      <c r="K162" s="10">
        <v>112.31</v>
      </c>
      <c r="M162" s="10">
        <v>178.88728</v>
      </c>
      <c r="N162" s="10">
        <v>183.16862</v>
      </c>
      <c r="O162" s="10">
        <v>182.37995000000001</v>
      </c>
      <c r="Q162" s="21">
        <v>1845.68</v>
      </c>
      <c r="R162" s="21">
        <v>1796.08</v>
      </c>
      <c r="S162" s="21">
        <v>1805.22</v>
      </c>
    </row>
    <row r="163" spans="1:19" x14ac:dyDescent="0.2">
      <c r="A163" s="9" t="s">
        <v>329</v>
      </c>
      <c r="B163" s="9" t="s">
        <v>330</v>
      </c>
      <c r="C163" s="9">
        <v>3</v>
      </c>
      <c r="D163" s="9">
        <v>0</v>
      </c>
      <c r="E163" s="9">
        <v>40</v>
      </c>
      <c r="F163" s="9">
        <f t="shared" si="2"/>
        <v>43</v>
      </c>
      <c r="H163" s="10">
        <v>56</v>
      </c>
      <c r="I163" s="10">
        <v>0</v>
      </c>
      <c r="J163" s="10">
        <v>102.81</v>
      </c>
      <c r="K163" s="10">
        <v>98.68</v>
      </c>
      <c r="M163" s="10">
        <v>117.66667</v>
      </c>
      <c r="N163" s="10">
        <v>203.88188</v>
      </c>
      <c r="O163" s="10">
        <v>194.64454000000001</v>
      </c>
      <c r="Q163" s="21">
        <v>2104.2600000000002</v>
      </c>
      <c r="R163" s="21">
        <v>2044.19</v>
      </c>
      <c r="S163" s="21">
        <v>2050.63</v>
      </c>
    </row>
    <row r="164" spans="1:19" x14ac:dyDescent="0.2">
      <c r="A164" s="9" t="s">
        <v>331</v>
      </c>
      <c r="B164" s="9" t="s">
        <v>332</v>
      </c>
      <c r="C164" s="9">
        <v>18</v>
      </c>
      <c r="D164" s="9">
        <v>0</v>
      </c>
      <c r="E164" s="9">
        <v>86</v>
      </c>
      <c r="F164" s="9">
        <f t="shared" si="2"/>
        <v>104</v>
      </c>
      <c r="H164" s="10">
        <v>78.53</v>
      </c>
      <c r="I164" s="10">
        <v>0</v>
      </c>
      <c r="J164" s="10">
        <v>96.89</v>
      </c>
      <c r="K164" s="10">
        <v>93.53</v>
      </c>
      <c r="M164" s="10">
        <v>65.167469999999994</v>
      </c>
      <c r="N164" s="10">
        <v>95.146899999999988</v>
      </c>
      <c r="O164" s="10">
        <v>89.546350000000004</v>
      </c>
      <c r="Q164" s="21">
        <v>843.43</v>
      </c>
      <c r="R164" s="21">
        <v>1036.3399999999999</v>
      </c>
      <c r="S164" s="21">
        <v>1000.3</v>
      </c>
    </row>
    <row r="165" spans="1:19" x14ac:dyDescent="0.2">
      <c r="A165" s="9" t="s">
        <v>333</v>
      </c>
      <c r="B165" s="9" t="s">
        <v>334</v>
      </c>
      <c r="C165" s="9">
        <v>16</v>
      </c>
      <c r="D165" s="9">
        <v>0</v>
      </c>
      <c r="E165" s="9">
        <v>809</v>
      </c>
      <c r="F165" s="9">
        <f t="shared" si="2"/>
        <v>825</v>
      </c>
      <c r="H165" s="10">
        <v>68.94</v>
      </c>
      <c r="I165" s="10">
        <v>0</v>
      </c>
      <c r="J165" s="10">
        <v>63.68</v>
      </c>
      <c r="K165" s="10">
        <v>63.8</v>
      </c>
      <c r="M165" s="10">
        <v>178.12231</v>
      </c>
      <c r="N165" s="10">
        <v>119.84808</v>
      </c>
      <c r="O165" s="10">
        <v>121.31641</v>
      </c>
      <c r="Q165" s="21">
        <v>2778.94</v>
      </c>
      <c r="R165" s="21">
        <v>1893.09</v>
      </c>
      <c r="S165" s="21">
        <v>1915.41</v>
      </c>
    </row>
    <row r="166" spans="1:19" x14ac:dyDescent="0.2">
      <c r="A166" s="9" t="s">
        <v>335</v>
      </c>
      <c r="B166" s="9" t="s">
        <v>336</v>
      </c>
      <c r="C166" s="9">
        <v>0</v>
      </c>
      <c r="D166" s="9">
        <v>0</v>
      </c>
      <c r="E166" s="9">
        <v>69</v>
      </c>
      <c r="F166" s="9">
        <f t="shared" si="2"/>
        <v>69</v>
      </c>
      <c r="H166" s="10">
        <v>0</v>
      </c>
      <c r="I166" s="10">
        <v>0</v>
      </c>
      <c r="J166" s="10">
        <v>165.48</v>
      </c>
      <c r="K166" s="10">
        <v>165.48</v>
      </c>
      <c r="M166" s="10">
        <v>0</v>
      </c>
      <c r="N166" s="10">
        <v>259.52204999999998</v>
      </c>
      <c r="O166" s="10">
        <v>259.52204999999998</v>
      </c>
      <c r="Q166" s="21">
        <v>0</v>
      </c>
      <c r="R166" s="21">
        <v>1583.85</v>
      </c>
      <c r="S166" s="21">
        <v>1583.85</v>
      </c>
    </row>
    <row r="167" spans="1:19" x14ac:dyDescent="0.2">
      <c r="A167" s="9" t="s">
        <v>337</v>
      </c>
      <c r="B167" s="9" t="s">
        <v>338</v>
      </c>
      <c r="C167" s="9">
        <v>8</v>
      </c>
      <c r="D167" s="9">
        <v>0</v>
      </c>
      <c r="E167" s="9">
        <v>55</v>
      </c>
      <c r="F167" s="9">
        <f t="shared" si="2"/>
        <v>63</v>
      </c>
      <c r="H167" s="10">
        <v>187.29</v>
      </c>
      <c r="I167" s="10">
        <v>0</v>
      </c>
      <c r="J167" s="10">
        <v>140.85</v>
      </c>
      <c r="K167" s="10">
        <v>146.18</v>
      </c>
      <c r="M167" s="10">
        <v>180.75714000000002</v>
      </c>
      <c r="N167" s="10">
        <v>188.61069000000001</v>
      </c>
      <c r="O167" s="10">
        <v>187.70945999999998</v>
      </c>
      <c r="Q167" s="21">
        <v>1135.44</v>
      </c>
      <c r="R167" s="21">
        <v>1525.11</v>
      </c>
      <c r="S167" s="21">
        <v>1480.39</v>
      </c>
    </row>
    <row r="168" spans="1:19" x14ac:dyDescent="0.2">
      <c r="A168" s="9" t="s">
        <v>339</v>
      </c>
      <c r="B168" s="9" t="s">
        <v>340</v>
      </c>
      <c r="C168" s="9">
        <v>15</v>
      </c>
      <c r="D168" s="9">
        <v>4</v>
      </c>
      <c r="E168" s="9">
        <v>62</v>
      </c>
      <c r="F168" s="9">
        <f t="shared" si="2"/>
        <v>81</v>
      </c>
      <c r="H168" s="10">
        <v>105.62</v>
      </c>
      <c r="I168" s="10">
        <v>72</v>
      </c>
      <c r="J168" s="10">
        <v>78.959999999999994</v>
      </c>
      <c r="K168" s="10">
        <v>83.39</v>
      </c>
      <c r="M168" s="10">
        <v>66.230770000000007</v>
      </c>
      <c r="N168" s="10">
        <v>62.094889999999999</v>
      </c>
      <c r="O168" s="10">
        <v>62.976309999999998</v>
      </c>
      <c r="Q168" s="21">
        <v>667.49</v>
      </c>
      <c r="R168" s="21">
        <v>769.35</v>
      </c>
      <c r="S168" s="21">
        <v>747.64</v>
      </c>
    </row>
    <row r="169" spans="1:19" x14ac:dyDescent="0.2">
      <c r="A169" s="9" t="s">
        <v>341</v>
      </c>
      <c r="B169" s="9" t="s">
        <v>342</v>
      </c>
      <c r="C169" s="9">
        <v>6</v>
      </c>
      <c r="D169" s="9">
        <v>0</v>
      </c>
      <c r="E169" s="9">
        <v>43</v>
      </c>
      <c r="F169" s="9">
        <f t="shared" si="2"/>
        <v>49</v>
      </c>
      <c r="H169" s="10">
        <v>104.8</v>
      </c>
      <c r="I169" s="10">
        <v>0</v>
      </c>
      <c r="J169" s="10">
        <v>98.43</v>
      </c>
      <c r="K169" s="10">
        <v>99.11</v>
      </c>
      <c r="M169" s="10">
        <v>93.2</v>
      </c>
      <c r="N169" s="10">
        <v>87.331949999999992</v>
      </c>
      <c r="O169" s="10">
        <v>87.96978</v>
      </c>
      <c r="Q169" s="21">
        <v>843.18</v>
      </c>
      <c r="R169" s="21">
        <v>975.44</v>
      </c>
      <c r="S169" s="21">
        <v>961.06</v>
      </c>
    </row>
    <row r="170" spans="1:19" x14ac:dyDescent="0.2">
      <c r="A170" s="9" t="s">
        <v>343</v>
      </c>
      <c r="B170" s="9" t="s">
        <v>344</v>
      </c>
      <c r="C170" s="9">
        <v>3</v>
      </c>
      <c r="D170" s="9">
        <v>0</v>
      </c>
      <c r="E170" s="9">
        <v>60</v>
      </c>
      <c r="F170" s="9">
        <f t="shared" si="2"/>
        <v>63</v>
      </c>
      <c r="H170" s="10">
        <v>166</v>
      </c>
      <c r="I170" s="10">
        <v>0</v>
      </c>
      <c r="J170" s="10">
        <v>138.19999999999999</v>
      </c>
      <c r="K170" s="10">
        <v>139.66</v>
      </c>
      <c r="M170" s="10">
        <v>128.49367000000001</v>
      </c>
      <c r="N170" s="10">
        <v>156.02587</v>
      </c>
      <c r="O170" s="10">
        <v>154.57680999999999</v>
      </c>
      <c r="Q170" s="21">
        <v>852.8</v>
      </c>
      <c r="R170" s="21">
        <v>1227.2</v>
      </c>
      <c r="S170" s="21">
        <v>1207.49</v>
      </c>
    </row>
    <row r="171" spans="1:19" x14ac:dyDescent="0.2">
      <c r="A171" s="9" t="s">
        <v>345</v>
      </c>
      <c r="B171" s="9" t="s">
        <v>346</v>
      </c>
      <c r="C171" s="9">
        <v>49</v>
      </c>
      <c r="D171" s="9">
        <v>2</v>
      </c>
      <c r="E171" s="9">
        <v>103</v>
      </c>
      <c r="F171" s="9">
        <f t="shared" si="2"/>
        <v>154</v>
      </c>
      <c r="H171" s="10">
        <v>92.28</v>
      </c>
      <c r="I171" s="10">
        <v>90</v>
      </c>
      <c r="J171" s="10">
        <v>97.1</v>
      </c>
      <c r="K171" s="10">
        <v>95.87</v>
      </c>
      <c r="M171" s="10">
        <v>164.63944000000001</v>
      </c>
      <c r="N171" s="10">
        <v>157.84913</v>
      </c>
      <c r="O171" s="10">
        <v>159.5299</v>
      </c>
      <c r="Q171" s="21">
        <v>1749.62</v>
      </c>
      <c r="R171" s="21">
        <v>1579.89</v>
      </c>
      <c r="S171" s="21">
        <v>1621.9</v>
      </c>
    </row>
    <row r="172" spans="1:19" x14ac:dyDescent="0.2">
      <c r="A172" s="9" t="s">
        <v>347</v>
      </c>
      <c r="B172" s="9" t="s">
        <v>348</v>
      </c>
      <c r="C172" s="9">
        <v>11</v>
      </c>
      <c r="D172" s="9">
        <v>0</v>
      </c>
      <c r="E172" s="9">
        <v>33</v>
      </c>
      <c r="F172" s="9">
        <f t="shared" si="2"/>
        <v>44</v>
      </c>
      <c r="H172" s="10">
        <v>123.86</v>
      </c>
      <c r="I172" s="10">
        <v>0</v>
      </c>
      <c r="J172" s="10">
        <v>115.73</v>
      </c>
      <c r="K172" s="10">
        <v>117.15</v>
      </c>
      <c r="M172" s="10">
        <v>159.58154999999999</v>
      </c>
      <c r="N172" s="10">
        <v>114.17989</v>
      </c>
      <c r="O172" s="10">
        <v>122.12517999999999</v>
      </c>
      <c r="Q172" s="21">
        <v>1393.42</v>
      </c>
      <c r="R172" s="21">
        <v>1137.8800000000001</v>
      </c>
      <c r="S172" s="21">
        <v>1182.5999999999999</v>
      </c>
    </row>
    <row r="173" spans="1:19" x14ac:dyDescent="0.2">
      <c r="A173" s="9" t="s">
        <v>349</v>
      </c>
      <c r="B173" s="9" t="s">
        <v>350</v>
      </c>
      <c r="C173" s="9">
        <v>7</v>
      </c>
      <c r="D173" s="9">
        <v>0</v>
      </c>
      <c r="E173" s="9">
        <v>33</v>
      </c>
      <c r="F173" s="9">
        <f t="shared" si="2"/>
        <v>40</v>
      </c>
      <c r="H173" s="10">
        <v>76.14</v>
      </c>
      <c r="I173" s="10">
        <v>0</v>
      </c>
      <c r="J173" s="10">
        <v>101.47</v>
      </c>
      <c r="K173" s="10">
        <v>96.68</v>
      </c>
      <c r="M173" s="10">
        <v>131</v>
      </c>
      <c r="N173" s="10">
        <v>156.05632999999997</v>
      </c>
      <c r="O173" s="10">
        <v>150.89767000000001</v>
      </c>
      <c r="Q173" s="21">
        <v>1695.48</v>
      </c>
      <c r="R173" s="21">
        <v>1543.01</v>
      </c>
      <c r="S173" s="21">
        <v>1574.4</v>
      </c>
    </row>
    <row r="174" spans="1:19" x14ac:dyDescent="0.2">
      <c r="A174" s="9" t="s">
        <v>351</v>
      </c>
      <c r="B174" s="9" t="s">
        <v>352</v>
      </c>
      <c r="C174" s="9">
        <v>0</v>
      </c>
      <c r="D174" s="9">
        <v>0</v>
      </c>
      <c r="E174" s="9">
        <v>27</v>
      </c>
      <c r="F174" s="9">
        <f t="shared" si="2"/>
        <v>27</v>
      </c>
      <c r="H174" s="10">
        <v>0</v>
      </c>
      <c r="I174" s="10">
        <v>0</v>
      </c>
      <c r="J174" s="10">
        <v>104.38</v>
      </c>
      <c r="K174" s="10">
        <v>104.38</v>
      </c>
      <c r="M174" s="10">
        <v>0</v>
      </c>
      <c r="N174" s="10">
        <v>138.79469</v>
      </c>
      <c r="O174" s="10">
        <v>138.79469</v>
      </c>
      <c r="Q174" s="21">
        <v>0</v>
      </c>
      <c r="R174" s="21">
        <v>1237.2</v>
      </c>
      <c r="S174" s="21">
        <v>1237.2</v>
      </c>
    </row>
    <row r="175" spans="1:19" x14ac:dyDescent="0.2">
      <c r="A175" s="9" t="s">
        <v>353</v>
      </c>
      <c r="B175" s="9" t="s">
        <v>354</v>
      </c>
      <c r="C175" s="9">
        <v>4</v>
      </c>
      <c r="D175" s="9">
        <v>0</v>
      </c>
      <c r="E175" s="9">
        <v>19</v>
      </c>
      <c r="F175" s="9">
        <f t="shared" si="2"/>
        <v>23</v>
      </c>
      <c r="H175" s="10">
        <v>80.33</v>
      </c>
      <c r="I175" s="10">
        <v>0</v>
      </c>
      <c r="J175" s="10">
        <v>110.08</v>
      </c>
      <c r="K175" s="10">
        <v>104.13</v>
      </c>
      <c r="M175" s="10">
        <v>35.953330000000001</v>
      </c>
      <c r="N175" s="10">
        <v>69.14443</v>
      </c>
      <c r="O175" s="10">
        <v>62.506209999999996</v>
      </c>
      <c r="Q175" s="21">
        <v>486.71</v>
      </c>
      <c r="R175" s="21">
        <v>688.1</v>
      </c>
      <c r="S175" s="21">
        <v>647.82000000000005</v>
      </c>
    </row>
    <row r="176" spans="1:19" x14ac:dyDescent="0.2">
      <c r="A176" s="9" t="s">
        <v>355</v>
      </c>
      <c r="B176" s="9" t="s">
        <v>356</v>
      </c>
      <c r="C176" s="9">
        <v>13</v>
      </c>
      <c r="D176" s="9">
        <v>0</v>
      </c>
      <c r="E176" s="9">
        <v>65</v>
      </c>
      <c r="F176" s="9">
        <f t="shared" si="2"/>
        <v>78</v>
      </c>
      <c r="H176" s="10">
        <v>154.44999999999999</v>
      </c>
      <c r="I176" s="10">
        <v>0</v>
      </c>
      <c r="J176" s="10">
        <v>126.94</v>
      </c>
      <c r="K176" s="10">
        <v>131.09</v>
      </c>
      <c r="M176" s="10">
        <v>153.18182000000002</v>
      </c>
      <c r="N176" s="10">
        <v>192.15259</v>
      </c>
      <c r="O176" s="10">
        <v>186.28028</v>
      </c>
      <c r="Q176" s="21">
        <v>1120.8900000000001</v>
      </c>
      <c r="R176" s="21">
        <v>1624.88</v>
      </c>
      <c r="S176" s="21">
        <v>1548.94</v>
      </c>
    </row>
    <row r="177" spans="1:19" x14ac:dyDescent="0.2">
      <c r="A177" s="9" t="s">
        <v>357</v>
      </c>
      <c r="B177" s="9" t="s">
        <v>358</v>
      </c>
      <c r="C177" s="9">
        <v>8</v>
      </c>
      <c r="D177" s="9">
        <v>0</v>
      </c>
      <c r="E177" s="9">
        <v>51</v>
      </c>
      <c r="F177" s="9">
        <f t="shared" si="2"/>
        <v>59</v>
      </c>
      <c r="H177" s="10">
        <v>151.86000000000001</v>
      </c>
      <c r="I177" s="10">
        <v>0</v>
      </c>
      <c r="J177" s="10">
        <v>97.86</v>
      </c>
      <c r="K177" s="10">
        <v>105.27</v>
      </c>
      <c r="M177" s="10">
        <v>148.14285999999998</v>
      </c>
      <c r="N177" s="10">
        <v>101.23738</v>
      </c>
      <c r="O177" s="10">
        <v>108.69962</v>
      </c>
      <c r="Q177" s="21">
        <v>977.79</v>
      </c>
      <c r="R177" s="21">
        <v>1046.28</v>
      </c>
      <c r="S177" s="21">
        <v>1035.3800000000001</v>
      </c>
    </row>
    <row r="178" spans="1:19" x14ac:dyDescent="0.2">
      <c r="A178" s="9" t="s">
        <v>359</v>
      </c>
      <c r="B178" s="9" t="s">
        <v>360</v>
      </c>
      <c r="C178" s="9">
        <v>3</v>
      </c>
      <c r="D178" s="9">
        <v>0</v>
      </c>
      <c r="E178" s="9">
        <v>43</v>
      </c>
      <c r="F178" s="9">
        <f t="shared" si="2"/>
        <v>46</v>
      </c>
      <c r="H178" s="10">
        <v>101</v>
      </c>
      <c r="I178" s="10">
        <v>0</v>
      </c>
      <c r="J178" s="10">
        <v>108.55</v>
      </c>
      <c r="K178" s="10">
        <v>108.02</v>
      </c>
      <c r="M178" s="10">
        <v>119.46666999999999</v>
      </c>
      <c r="N178" s="10">
        <v>117.86864999999999</v>
      </c>
      <c r="O178" s="10">
        <v>117.98014000000001</v>
      </c>
      <c r="Q178" s="21">
        <v>1104.1199999999999</v>
      </c>
      <c r="R178" s="21">
        <v>1147.3599999999999</v>
      </c>
      <c r="S178" s="21">
        <v>1144.3399999999999</v>
      </c>
    </row>
    <row r="179" spans="1:19" x14ac:dyDescent="0.2">
      <c r="A179" s="9" t="s">
        <v>361</v>
      </c>
      <c r="B179" s="9" t="s">
        <v>362</v>
      </c>
      <c r="C179" s="9">
        <v>50</v>
      </c>
      <c r="D179" s="9">
        <v>0</v>
      </c>
      <c r="E179" s="9">
        <v>305</v>
      </c>
      <c r="F179" s="9">
        <f t="shared" si="2"/>
        <v>355</v>
      </c>
      <c r="H179" s="10">
        <v>117.53</v>
      </c>
      <c r="I179" s="10">
        <v>0</v>
      </c>
      <c r="J179" s="10">
        <v>99.01</v>
      </c>
      <c r="K179" s="10">
        <v>101.34</v>
      </c>
      <c r="M179" s="10">
        <v>436.86359000000004</v>
      </c>
      <c r="N179" s="10">
        <v>423.71232000000003</v>
      </c>
      <c r="O179" s="10">
        <v>425.39299</v>
      </c>
      <c r="Q179" s="21">
        <v>4109.18</v>
      </c>
      <c r="R179" s="21">
        <v>4355.03</v>
      </c>
      <c r="S179" s="21">
        <v>4323.6099999999997</v>
      </c>
    </row>
    <row r="180" spans="1:19" x14ac:dyDescent="0.2">
      <c r="A180" s="9" t="s">
        <v>363</v>
      </c>
      <c r="B180" s="9" t="s">
        <v>364</v>
      </c>
      <c r="C180" s="9">
        <v>6</v>
      </c>
      <c r="D180" s="9">
        <v>0</v>
      </c>
      <c r="E180" s="9">
        <v>20</v>
      </c>
      <c r="F180" s="9">
        <f t="shared" si="2"/>
        <v>26</v>
      </c>
      <c r="H180" s="10">
        <v>96.6</v>
      </c>
      <c r="I180" s="10">
        <v>0</v>
      </c>
      <c r="J180" s="10">
        <v>106.26</v>
      </c>
      <c r="K180" s="10">
        <v>104.25</v>
      </c>
      <c r="M180" s="10">
        <v>120.7</v>
      </c>
      <c r="N180" s="10">
        <v>120.77467</v>
      </c>
      <c r="O180" s="10">
        <v>120.75689</v>
      </c>
      <c r="Q180" s="21">
        <v>1181.1199999999999</v>
      </c>
      <c r="R180" s="21">
        <v>1080.23</v>
      </c>
      <c r="S180" s="21">
        <v>1104.25</v>
      </c>
    </row>
    <row r="181" spans="1:19" x14ac:dyDescent="0.2">
      <c r="A181" s="9" t="s">
        <v>365</v>
      </c>
      <c r="B181" s="9" t="s">
        <v>366</v>
      </c>
      <c r="C181" s="9">
        <v>7</v>
      </c>
      <c r="D181" s="9">
        <v>0</v>
      </c>
      <c r="E181" s="9">
        <v>22</v>
      </c>
      <c r="F181" s="9">
        <f t="shared" si="2"/>
        <v>29</v>
      </c>
      <c r="H181" s="10">
        <v>93.29</v>
      </c>
      <c r="I181" s="10">
        <v>0</v>
      </c>
      <c r="J181" s="10">
        <v>72.599999999999994</v>
      </c>
      <c r="K181" s="10">
        <v>77.959999999999994</v>
      </c>
      <c r="M181" s="10">
        <v>91.085710000000006</v>
      </c>
      <c r="N181" s="10">
        <v>51.207790000000003</v>
      </c>
      <c r="O181" s="10">
        <v>61.94415</v>
      </c>
      <c r="Q181" s="21">
        <v>967.03</v>
      </c>
      <c r="R181" s="21">
        <v>739.05</v>
      </c>
      <c r="S181" s="21">
        <v>800.43</v>
      </c>
    </row>
    <row r="182" spans="1:19" x14ac:dyDescent="0.2">
      <c r="A182" s="9" t="s">
        <v>367</v>
      </c>
      <c r="B182" s="9" t="s">
        <v>368</v>
      </c>
      <c r="C182" s="9">
        <v>13</v>
      </c>
      <c r="D182" s="9">
        <v>0</v>
      </c>
      <c r="E182" s="9">
        <v>17</v>
      </c>
      <c r="F182" s="9">
        <f t="shared" si="2"/>
        <v>30</v>
      </c>
      <c r="H182" s="10">
        <v>98</v>
      </c>
      <c r="I182" s="10">
        <v>0</v>
      </c>
      <c r="J182" s="10">
        <v>102.47</v>
      </c>
      <c r="K182" s="10">
        <v>100.71</v>
      </c>
      <c r="M182" s="10">
        <v>154.05600000000001</v>
      </c>
      <c r="N182" s="10">
        <v>134.19163</v>
      </c>
      <c r="O182" s="10">
        <v>142.41137000000001</v>
      </c>
      <c r="Q182" s="21">
        <v>2776.94</v>
      </c>
      <c r="R182" s="21">
        <v>1440.56</v>
      </c>
      <c r="S182" s="21">
        <v>1993.54</v>
      </c>
    </row>
    <row r="183" spans="1:19" x14ac:dyDescent="0.2">
      <c r="A183" s="9" t="s">
        <v>369</v>
      </c>
      <c r="B183" s="9" t="s">
        <v>370</v>
      </c>
      <c r="C183" s="9">
        <v>191</v>
      </c>
      <c r="D183" s="9">
        <v>0</v>
      </c>
      <c r="E183" s="9">
        <v>1036</v>
      </c>
      <c r="F183" s="9">
        <f t="shared" si="2"/>
        <v>1227</v>
      </c>
      <c r="H183" s="10">
        <v>100.01</v>
      </c>
      <c r="I183" s="10">
        <v>0</v>
      </c>
      <c r="J183" s="10">
        <v>85.28</v>
      </c>
      <c r="K183" s="10">
        <v>87.53</v>
      </c>
      <c r="M183" s="10">
        <v>159.32333</v>
      </c>
      <c r="N183" s="10">
        <v>109.71681</v>
      </c>
      <c r="O183" s="10">
        <v>117.41666000000001</v>
      </c>
      <c r="Q183" s="21">
        <v>1507.99</v>
      </c>
      <c r="R183" s="21">
        <v>1227.19</v>
      </c>
      <c r="S183" s="21">
        <v>1270.78</v>
      </c>
    </row>
    <row r="184" spans="1:19" x14ac:dyDescent="0.2">
      <c r="A184" s="9" t="s">
        <v>371</v>
      </c>
      <c r="B184" s="9" t="s">
        <v>372</v>
      </c>
      <c r="C184" s="9">
        <v>36</v>
      </c>
      <c r="D184" s="9">
        <v>2</v>
      </c>
      <c r="E184" s="9">
        <v>129</v>
      </c>
      <c r="F184" s="9">
        <f t="shared" si="2"/>
        <v>167</v>
      </c>
      <c r="H184" s="10">
        <v>91.8</v>
      </c>
      <c r="I184" s="10">
        <v>0</v>
      </c>
      <c r="J184" s="10">
        <v>104.49</v>
      </c>
      <c r="K184" s="10">
        <v>100.99</v>
      </c>
      <c r="M184" s="10">
        <v>39.004860000000001</v>
      </c>
      <c r="N184" s="10">
        <v>76.21099000000001</v>
      </c>
      <c r="O184" s="10">
        <v>64.040760000000006</v>
      </c>
      <c r="Q184" s="21">
        <v>452.99</v>
      </c>
      <c r="R184" s="21">
        <v>722.72</v>
      </c>
      <c r="S184" s="21">
        <v>634.49</v>
      </c>
    </row>
    <row r="185" spans="1:19" x14ac:dyDescent="0.2">
      <c r="A185" s="9" t="s">
        <v>373</v>
      </c>
      <c r="B185" s="9" t="s">
        <v>374</v>
      </c>
      <c r="C185" s="9">
        <v>21</v>
      </c>
      <c r="D185" s="9">
        <v>0</v>
      </c>
      <c r="E185" s="9">
        <v>66</v>
      </c>
      <c r="F185" s="9">
        <f t="shared" si="2"/>
        <v>87</v>
      </c>
      <c r="H185" s="10">
        <v>283.5</v>
      </c>
      <c r="I185" s="10">
        <v>0</v>
      </c>
      <c r="J185" s="10">
        <v>119.48</v>
      </c>
      <c r="K185" s="10">
        <v>159</v>
      </c>
      <c r="M185" s="10">
        <v>623.39774999999997</v>
      </c>
      <c r="N185" s="10">
        <v>325.29640999999998</v>
      </c>
      <c r="O185" s="10">
        <v>397.12806</v>
      </c>
      <c r="Q185" s="21">
        <v>2248.36</v>
      </c>
      <c r="R185" s="21">
        <v>2924.3</v>
      </c>
      <c r="S185" s="21">
        <v>2761.42</v>
      </c>
    </row>
    <row r="186" spans="1:19" x14ac:dyDescent="0.2">
      <c r="A186" s="9" t="s">
        <v>375</v>
      </c>
      <c r="B186" s="9" t="s">
        <v>376</v>
      </c>
      <c r="C186" s="9">
        <v>189</v>
      </c>
      <c r="D186" s="9">
        <v>1</v>
      </c>
      <c r="E186" s="9">
        <v>1953</v>
      </c>
      <c r="F186" s="9">
        <f t="shared" si="2"/>
        <v>2143</v>
      </c>
      <c r="H186" s="10">
        <v>78.36</v>
      </c>
      <c r="I186" s="10">
        <v>58</v>
      </c>
      <c r="J186" s="10">
        <v>87.03</v>
      </c>
      <c r="K186" s="10">
        <v>86.28</v>
      </c>
      <c r="M186" s="10">
        <v>125.83892999999999</v>
      </c>
      <c r="N186" s="10">
        <v>127.75277</v>
      </c>
      <c r="O186" s="10">
        <v>127.58858000000001</v>
      </c>
      <c r="Q186" s="21">
        <v>1693.97</v>
      </c>
      <c r="R186" s="21">
        <v>1518.52</v>
      </c>
      <c r="S186" s="21">
        <v>1533.57</v>
      </c>
    </row>
    <row r="187" spans="1:19" x14ac:dyDescent="0.2">
      <c r="A187" s="9" t="s">
        <v>377</v>
      </c>
      <c r="B187" s="9" t="s">
        <v>378</v>
      </c>
      <c r="C187" s="9">
        <v>22</v>
      </c>
      <c r="D187" s="9">
        <v>0</v>
      </c>
      <c r="E187" s="9">
        <v>53</v>
      </c>
      <c r="F187" s="9">
        <f t="shared" si="2"/>
        <v>75</v>
      </c>
      <c r="H187" s="10">
        <v>141.62</v>
      </c>
      <c r="I187" s="10">
        <v>0</v>
      </c>
      <c r="J187" s="10">
        <v>141.59</v>
      </c>
      <c r="K187" s="10">
        <v>141.6</v>
      </c>
      <c r="M187" s="10">
        <v>381.87666999999999</v>
      </c>
      <c r="N187" s="10">
        <v>332.93392</v>
      </c>
      <c r="O187" s="10">
        <v>347.61673999999999</v>
      </c>
      <c r="Q187" s="21">
        <v>3098.65</v>
      </c>
      <c r="R187" s="21">
        <v>2595.0100000000002</v>
      </c>
      <c r="S187" s="21">
        <v>2746.1</v>
      </c>
    </row>
    <row r="188" spans="1:19" x14ac:dyDescent="0.2">
      <c r="A188" s="9" t="s">
        <v>379</v>
      </c>
      <c r="B188" s="9" t="s">
        <v>380</v>
      </c>
      <c r="C188" s="9">
        <v>11</v>
      </c>
      <c r="D188" s="9">
        <v>0</v>
      </c>
      <c r="E188" s="9">
        <v>29</v>
      </c>
      <c r="F188" s="9">
        <f t="shared" si="2"/>
        <v>40</v>
      </c>
      <c r="H188" s="10">
        <v>97.9</v>
      </c>
      <c r="I188" s="10">
        <v>0</v>
      </c>
      <c r="J188" s="10">
        <v>95.56</v>
      </c>
      <c r="K188" s="10">
        <v>96.19</v>
      </c>
      <c r="M188" s="10">
        <v>103.4786</v>
      </c>
      <c r="N188" s="10">
        <v>163.83945</v>
      </c>
      <c r="O188" s="10">
        <v>147.52571</v>
      </c>
      <c r="Q188" s="21">
        <v>1269.75</v>
      </c>
      <c r="R188" s="21">
        <v>1830.88</v>
      </c>
      <c r="S188" s="21">
        <v>1679.22</v>
      </c>
    </row>
    <row r="189" spans="1:19" x14ac:dyDescent="0.2">
      <c r="A189" s="9" t="s">
        <v>381</v>
      </c>
      <c r="B189" s="9" t="s">
        <v>382</v>
      </c>
      <c r="C189" s="9">
        <v>23</v>
      </c>
      <c r="D189" s="9">
        <v>0</v>
      </c>
      <c r="E189" s="9">
        <v>143</v>
      </c>
      <c r="F189" s="9">
        <f t="shared" si="2"/>
        <v>166</v>
      </c>
      <c r="H189" s="10">
        <v>85.6</v>
      </c>
      <c r="I189" s="10">
        <v>0</v>
      </c>
      <c r="J189" s="10">
        <v>102.23</v>
      </c>
      <c r="K189" s="10">
        <v>99.98</v>
      </c>
      <c r="M189" s="10">
        <v>91.502449999999996</v>
      </c>
      <c r="N189" s="10">
        <v>106.94148</v>
      </c>
      <c r="O189" s="10">
        <v>104.81196000000001</v>
      </c>
      <c r="Q189" s="21">
        <v>1125.1400000000001</v>
      </c>
      <c r="R189" s="21">
        <v>1116.97</v>
      </c>
      <c r="S189" s="21">
        <v>1118.0999999999999</v>
      </c>
    </row>
    <row r="190" spans="1:19" x14ac:dyDescent="0.2">
      <c r="A190" s="9" t="s">
        <v>383</v>
      </c>
      <c r="B190" s="9" t="s">
        <v>384</v>
      </c>
      <c r="C190" s="9">
        <v>5</v>
      </c>
      <c r="D190" s="9">
        <v>0</v>
      </c>
      <c r="E190" s="9">
        <v>91</v>
      </c>
      <c r="F190" s="9">
        <f t="shared" si="2"/>
        <v>96</v>
      </c>
      <c r="H190" s="10">
        <v>70.75</v>
      </c>
      <c r="I190" s="10">
        <v>0</v>
      </c>
      <c r="J190" s="10">
        <v>98.17</v>
      </c>
      <c r="K190" s="10">
        <v>96.92</v>
      </c>
      <c r="M190" s="10">
        <v>73.25</v>
      </c>
      <c r="N190" s="10">
        <v>89.882350000000002</v>
      </c>
      <c r="O190" s="10">
        <v>89.126329999999996</v>
      </c>
      <c r="Q190" s="21">
        <v>1068.27</v>
      </c>
      <c r="R190" s="21">
        <v>1015.09</v>
      </c>
      <c r="S190" s="21">
        <v>1017.51</v>
      </c>
    </row>
    <row r="191" spans="1:19" x14ac:dyDescent="0.2">
      <c r="A191" s="9" t="s">
        <v>385</v>
      </c>
      <c r="B191" s="9" t="s">
        <v>386</v>
      </c>
      <c r="C191" s="9">
        <v>40</v>
      </c>
      <c r="D191" s="9">
        <v>5</v>
      </c>
      <c r="E191" s="9">
        <v>197</v>
      </c>
      <c r="F191" s="9">
        <f t="shared" si="2"/>
        <v>242</v>
      </c>
      <c r="H191" s="10">
        <v>84.08</v>
      </c>
      <c r="I191" s="10">
        <v>79.400000000000006</v>
      </c>
      <c r="J191" s="10">
        <v>88.23</v>
      </c>
      <c r="K191" s="10">
        <v>87.31</v>
      </c>
      <c r="M191" s="10">
        <v>117.94925000000001</v>
      </c>
      <c r="N191" s="10">
        <v>133.32229999999998</v>
      </c>
      <c r="O191" s="10">
        <v>130.55515</v>
      </c>
      <c r="Q191" s="21">
        <v>1525.36</v>
      </c>
      <c r="R191" s="21">
        <v>1537.58</v>
      </c>
      <c r="S191" s="21">
        <v>1535.38</v>
      </c>
    </row>
    <row r="192" spans="1:19" x14ac:dyDescent="0.2">
      <c r="A192" s="9" t="s">
        <v>387</v>
      </c>
      <c r="B192" s="9" t="s">
        <v>388</v>
      </c>
      <c r="C192" s="9">
        <v>6</v>
      </c>
      <c r="D192" s="9">
        <v>0</v>
      </c>
      <c r="E192" s="9">
        <v>40</v>
      </c>
      <c r="F192" s="9">
        <f t="shared" si="2"/>
        <v>46</v>
      </c>
      <c r="H192" s="10">
        <v>87.17</v>
      </c>
      <c r="I192" s="10">
        <v>0</v>
      </c>
      <c r="J192" s="10">
        <v>141.03</v>
      </c>
      <c r="K192" s="10">
        <v>133.15</v>
      </c>
      <c r="M192" s="10">
        <v>162.36257999999998</v>
      </c>
      <c r="N192" s="10">
        <v>188.51310000000001</v>
      </c>
      <c r="O192" s="10">
        <v>184.68619000000001</v>
      </c>
      <c r="Q192" s="21">
        <v>1913.57</v>
      </c>
      <c r="R192" s="21">
        <v>1490.75</v>
      </c>
      <c r="S192" s="21">
        <v>1552.63</v>
      </c>
    </row>
    <row r="193" spans="1:19" x14ac:dyDescent="0.2">
      <c r="A193" s="9" t="s">
        <v>389</v>
      </c>
      <c r="B193" s="9" t="s">
        <v>390</v>
      </c>
      <c r="C193" s="9">
        <v>39</v>
      </c>
      <c r="D193" s="9">
        <v>1</v>
      </c>
      <c r="E193" s="9">
        <v>164</v>
      </c>
      <c r="F193" s="9">
        <f t="shared" si="2"/>
        <v>204</v>
      </c>
      <c r="H193" s="10">
        <v>80.319999999999993</v>
      </c>
      <c r="I193" s="10">
        <v>59</v>
      </c>
      <c r="J193" s="10">
        <v>76.260000000000005</v>
      </c>
      <c r="K193" s="10">
        <v>76.930000000000007</v>
      </c>
      <c r="M193" s="10">
        <v>134.70810999999998</v>
      </c>
      <c r="N193" s="10">
        <v>118.96586000000001</v>
      </c>
      <c r="O193" s="10">
        <v>121.99952</v>
      </c>
      <c r="Q193" s="21">
        <v>1792.83</v>
      </c>
      <c r="R193" s="21">
        <v>1646.74</v>
      </c>
      <c r="S193" s="21">
        <v>1674.89</v>
      </c>
    </row>
    <row r="194" spans="1:19" x14ac:dyDescent="0.2">
      <c r="A194" s="9" t="s">
        <v>391</v>
      </c>
      <c r="B194" s="9" t="s">
        <v>392</v>
      </c>
      <c r="C194" s="9">
        <v>4</v>
      </c>
      <c r="D194" s="9">
        <v>0</v>
      </c>
      <c r="E194" s="9">
        <v>208</v>
      </c>
      <c r="F194" s="9">
        <f t="shared" si="2"/>
        <v>212</v>
      </c>
      <c r="H194" s="10">
        <v>86.5</v>
      </c>
      <c r="I194" s="10">
        <v>0</v>
      </c>
      <c r="J194" s="10">
        <v>91.58</v>
      </c>
      <c r="K194" s="10">
        <v>91.45</v>
      </c>
      <c r="M194" s="10">
        <v>103.15080999999999</v>
      </c>
      <c r="N194" s="10">
        <v>68.604759999999999</v>
      </c>
      <c r="O194" s="10">
        <v>69.513869999999997</v>
      </c>
      <c r="Q194" s="21">
        <v>1181.05</v>
      </c>
      <c r="R194" s="21">
        <v>720.13</v>
      </c>
      <c r="S194" s="21">
        <v>732.26</v>
      </c>
    </row>
    <row r="195" spans="1:19" x14ac:dyDescent="0.2">
      <c r="A195" s="1" t="s">
        <v>393</v>
      </c>
      <c r="B195" s="1" t="s">
        <v>394</v>
      </c>
      <c r="C195" s="9">
        <v>4</v>
      </c>
      <c r="D195" s="9">
        <v>0</v>
      </c>
      <c r="E195" s="9">
        <v>117</v>
      </c>
      <c r="F195" s="9">
        <f t="shared" si="2"/>
        <v>121</v>
      </c>
      <c r="H195" s="10">
        <v>109.75</v>
      </c>
      <c r="I195" s="10">
        <v>0</v>
      </c>
      <c r="J195" s="10">
        <v>79.7</v>
      </c>
      <c r="K195" s="10">
        <v>80.84</v>
      </c>
      <c r="M195" s="10">
        <v>235.05555999999999</v>
      </c>
      <c r="N195" s="10">
        <v>174.76883999999998</v>
      </c>
      <c r="O195" s="10">
        <v>177.11007000000001</v>
      </c>
      <c r="Q195" s="21">
        <v>2123.5700000000002</v>
      </c>
      <c r="R195" s="21">
        <v>2161.6</v>
      </c>
      <c r="S195" s="21">
        <v>2160.12</v>
      </c>
    </row>
    <row r="196" spans="1:19" x14ac:dyDescent="0.2">
      <c r="A196" s="1" t="s">
        <v>395</v>
      </c>
      <c r="B196" s="1" t="s">
        <v>396</v>
      </c>
      <c r="C196" s="9">
        <v>0</v>
      </c>
      <c r="D196" s="9">
        <v>0</v>
      </c>
      <c r="E196" s="9">
        <v>59</v>
      </c>
      <c r="F196" s="9">
        <f t="shared" si="2"/>
        <v>59</v>
      </c>
      <c r="H196" s="10">
        <v>0</v>
      </c>
      <c r="I196" s="10">
        <v>0</v>
      </c>
      <c r="J196" s="10">
        <v>106.11</v>
      </c>
      <c r="K196" s="10">
        <v>106.11</v>
      </c>
      <c r="M196" s="10">
        <v>0</v>
      </c>
      <c r="N196" s="10">
        <v>60.428710000000002</v>
      </c>
      <c r="O196" s="10">
        <v>60.428710000000002</v>
      </c>
      <c r="Q196" s="21">
        <v>0</v>
      </c>
      <c r="R196" s="21">
        <v>584.66</v>
      </c>
      <c r="S196" s="21">
        <v>584.66</v>
      </c>
    </row>
    <row r="197" spans="1:19" x14ac:dyDescent="0.2">
      <c r="A197" s="1" t="s">
        <v>397</v>
      </c>
      <c r="B197" s="1" t="s">
        <v>398</v>
      </c>
      <c r="C197" s="9">
        <v>11</v>
      </c>
      <c r="D197" s="9">
        <v>1</v>
      </c>
      <c r="E197" s="9">
        <v>38</v>
      </c>
      <c r="F197" s="9">
        <f t="shared" si="2"/>
        <v>50</v>
      </c>
      <c r="H197" s="10">
        <v>84.89</v>
      </c>
      <c r="I197" s="10">
        <v>65</v>
      </c>
      <c r="J197" s="10">
        <v>101.04</v>
      </c>
      <c r="K197" s="10">
        <v>95.54</v>
      </c>
      <c r="M197" s="10">
        <v>56.432749999999999</v>
      </c>
      <c r="N197" s="10">
        <v>57.576629999999994</v>
      </c>
      <c r="O197" s="10">
        <v>57.254910000000002</v>
      </c>
      <c r="Q197" s="21">
        <v>677.23</v>
      </c>
      <c r="R197" s="21">
        <v>574.5</v>
      </c>
      <c r="S197" s="21">
        <v>603.39</v>
      </c>
    </row>
    <row r="198" spans="1:19" x14ac:dyDescent="0.2">
      <c r="A198" s="1" t="s">
        <v>399</v>
      </c>
      <c r="B198" s="1" t="s">
        <v>400</v>
      </c>
      <c r="C198" s="9">
        <v>1</v>
      </c>
      <c r="D198" s="9">
        <v>0</v>
      </c>
      <c r="E198" s="9">
        <v>57</v>
      </c>
      <c r="F198" s="9">
        <f t="shared" ref="F198:F215" si="3">SUM(C198:E198)</f>
        <v>58</v>
      </c>
      <c r="H198" s="10">
        <v>78</v>
      </c>
      <c r="I198" s="10">
        <v>0</v>
      </c>
      <c r="J198" s="10">
        <v>137.96</v>
      </c>
      <c r="K198" s="10">
        <v>136.74</v>
      </c>
      <c r="M198" s="10">
        <v>0</v>
      </c>
      <c r="N198" s="10">
        <v>203.28157999999999</v>
      </c>
      <c r="O198" s="10">
        <v>202.80645000000001</v>
      </c>
      <c r="Q198" s="21">
        <v>0</v>
      </c>
      <c r="R198" s="21">
        <v>1696.17</v>
      </c>
      <c r="S198" s="21">
        <v>1708.65</v>
      </c>
    </row>
    <row r="199" spans="1:19" x14ac:dyDescent="0.2">
      <c r="A199" s="1" t="s">
        <v>401</v>
      </c>
      <c r="B199" s="1" t="s">
        <v>402</v>
      </c>
      <c r="C199" s="9">
        <v>27</v>
      </c>
      <c r="D199" s="9">
        <v>2</v>
      </c>
      <c r="E199" s="9">
        <v>68</v>
      </c>
      <c r="F199" s="9">
        <f t="shared" si="3"/>
        <v>97</v>
      </c>
      <c r="H199" s="10">
        <v>155.28</v>
      </c>
      <c r="I199" s="10">
        <v>79.5</v>
      </c>
      <c r="J199" s="10">
        <v>132.80000000000001</v>
      </c>
      <c r="K199" s="10">
        <v>137.75</v>
      </c>
      <c r="M199" s="10">
        <v>198.976</v>
      </c>
      <c r="N199" s="10">
        <v>170.85048</v>
      </c>
      <c r="O199" s="10">
        <v>178.66311999999999</v>
      </c>
      <c r="Q199" s="21">
        <v>1458.47</v>
      </c>
      <c r="R199" s="21">
        <v>1534.48</v>
      </c>
      <c r="S199" s="21">
        <v>1513.37</v>
      </c>
    </row>
    <row r="200" spans="1:19" x14ac:dyDescent="0.2">
      <c r="A200" s="1" t="s">
        <v>403</v>
      </c>
      <c r="B200" s="1" t="s">
        <v>404</v>
      </c>
      <c r="C200" s="9">
        <v>2</v>
      </c>
      <c r="D200" s="9">
        <v>0</v>
      </c>
      <c r="E200" s="9">
        <v>72</v>
      </c>
      <c r="F200" s="9">
        <f t="shared" si="3"/>
        <v>74</v>
      </c>
      <c r="H200" s="10">
        <v>190</v>
      </c>
      <c r="I200" s="10">
        <v>0</v>
      </c>
      <c r="J200" s="10">
        <v>82.75</v>
      </c>
      <c r="K200" s="10">
        <v>84.28</v>
      </c>
      <c r="M200" s="10">
        <v>0</v>
      </c>
      <c r="N200" s="10">
        <v>95.858750000000001</v>
      </c>
      <c r="O200" s="10">
        <v>97.132199999999997</v>
      </c>
      <c r="Q200" s="21">
        <v>0</v>
      </c>
      <c r="R200" s="21">
        <v>1127.23</v>
      </c>
      <c r="S200" s="21">
        <v>1125.04</v>
      </c>
    </row>
    <row r="201" spans="1:19" x14ac:dyDescent="0.2">
      <c r="A201" s="1" t="s">
        <v>405</v>
      </c>
      <c r="B201" s="1" t="s">
        <v>406</v>
      </c>
      <c r="C201" s="9">
        <v>19</v>
      </c>
      <c r="D201" s="9">
        <v>0</v>
      </c>
      <c r="E201" s="9">
        <v>39</v>
      </c>
      <c r="F201" s="9">
        <f t="shared" si="3"/>
        <v>58</v>
      </c>
      <c r="H201" s="10">
        <v>77.760000000000005</v>
      </c>
      <c r="I201" s="10">
        <v>0</v>
      </c>
      <c r="J201" s="10">
        <v>76.650000000000006</v>
      </c>
      <c r="K201" s="10">
        <v>77.040000000000006</v>
      </c>
      <c r="M201" s="10">
        <v>88.023529999999994</v>
      </c>
      <c r="N201" s="10">
        <v>102.66035000000001</v>
      </c>
      <c r="O201" s="10">
        <v>96.873699999999999</v>
      </c>
      <c r="Q201" s="21">
        <v>1162.79</v>
      </c>
      <c r="R201" s="21">
        <v>1387.86</v>
      </c>
      <c r="S201" s="21">
        <v>1298.8800000000001</v>
      </c>
    </row>
    <row r="202" spans="1:19" x14ac:dyDescent="0.2">
      <c r="A202" s="1" t="s">
        <v>407</v>
      </c>
      <c r="B202" s="1" t="s">
        <v>408</v>
      </c>
      <c r="C202" s="9">
        <v>31</v>
      </c>
      <c r="D202" s="9">
        <v>0</v>
      </c>
      <c r="E202" s="9">
        <v>535</v>
      </c>
      <c r="F202" s="9">
        <f t="shared" si="3"/>
        <v>566</v>
      </c>
      <c r="H202" s="10">
        <v>85.43</v>
      </c>
      <c r="I202" s="10">
        <v>0</v>
      </c>
      <c r="J202" s="10">
        <v>92.41</v>
      </c>
      <c r="K202" s="10">
        <v>92.04</v>
      </c>
      <c r="M202" s="10">
        <v>79.726609999999994</v>
      </c>
      <c r="N202" s="10">
        <v>107.88483000000001</v>
      </c>
      <c r="O202" s="10">
        <v>106.41995</v>
      </c>
      <c r="Q202" s="21">
        <v>848.52</v>
      </c>
      <c r="R202" s="21">
        <v>1252.58</v>
      </c>
      <c r="S202" s="21">
        <v>1231.56</v>
      </c>
    </row>
    <row r="203" spans="1:19" x14ac:dyDescent="0.2">
      <c r="A203" s="1" t="s">
        <v>409</v>
      </c>
      <c r="B203" s="1" t="s">
        <v>410</v>
      </c>
      <c r="C203" s="9">
        <v>46</v>
      </c>
      <c r="D203" s="9">
        <v>3</v>
      </c>
      <c r="E203" s="9">
        <v>331</v>
      </c>
      <c r="F203" s="9">
        <f t="shared" si="3"/>
        <v>380</v>
      </c>
      <c r="H203" s="10">
        <v>104.45</v>
      </c>
      <c r="I203" s="10">
        <v>79</v>
      </c>
      <c r="J203" s="10">
        <v>84.65</v>
      </c>
      <c r="K203" s="10">
        <v>86.97</v>
      </c>
      <c r="M203" s="10">
        <v>140.91332999999997</v>
      </c>
      <c r="N203" s="10">
        <v>112.22761</v>
      </c>
      <c r="O203" s="10">
        <v>115.91201</v>
      </c>
      <c r="Q203" s="21">
        <v>1497.3</v>
      </c>
      <c r="R203" s="21">
        <v>1386.57</v>
      </c>
      <c r="S203" s="21">
        <v>1400.79</v>
      </c>
    </row>
    <row r="204" spans="1:19" x14ac:dyDescent="0.2">
      <c r="A204" s="1" t="s">
        <v>411</v>
      </c>
      <c r="B204" s="1" t="s">
        <v>412</v>
      </c>
      <c r="C204" s="9">
        <v>9</v>
      </c>
      <c r="D204" s="9">
        <v>0</v>
      </c>
      <c r="E204" s="9">
        <v>42</v>
      </c>
      <c r="F204" s="9">
        <f t="shared" si="3"/>
        <v>51</v>
      </c>
      <c r="H204" s="10">
        <v>121.29</v>
      </c>
      <c r="I204" s="10">
        <v>0</v>
      </c>
      <c r="J204" s="10">
        <v>117.06</v>
      </c>
      <c r="K204" s="10">
        <v>117.76</v>
      </c>
      <c r="M204" s="10">
        <v>100.58199999999999</v>
      </c>
      <c r="N204" s="10">
        <v>120.65411999999999</v>
      </c>
      <c r="O204" s="10">
        <v>117.30877000000001</v>
      </c>
      <c r="Q204" s="21">
        <v>1060.6500000000001</v>
      </c>
      <c r="R204" s="21">
        <v>1103.1099999999999</v>
      </c>
      <c r="S204" s="21">
        <v>1096.03</v>
      </c>
    </row>
    <row r="205" spans="1:19" x14ac:dyDescent="0.2">
      <c r="A205" s="1" t="s">
        <v>413</v>
      </c>
      <c r="B205" s="1" t="s">
        <v>414</v>
      </c>
      <c r="C205" s="9">
        <v>7</v>
      </c>
      <c r="D205" s="9">
        <v>0</v>
      </c>
      <c r="E205" s="9">
        <v>99</v>
      </c>
      <c r="F205" s="9">
        <f t="shared" si="3"/>
        <v>106</v>
      </c>
      <c r="H205" s="10">
        <v>89.14</v>
      </c>
      <c r="I205" s="10">
        <v>0</v>
      </c>
      <c r="J205" s="10">
        <v>88.56</v>
      </c>
      <c r="K205" s="10">
        <v>88.6</v>
      </c>
      <c r="M205" s="10">
        <v>99.737100000000012</v>
      </c>
      <c r="N205" s="10">
        <v>138.41584</v>
      </c>
      <c r="O205" s="10">
        <v>135.50454000000002</v>
      </c>
      <c r="Q205" s="21">
        <v>1187.6099999999999</v>
      </c>
      <c r="R205" s="21">
        <v>1584.49</v>
      </c>
      <c r="S205" s="21">
        <v>1554.62</v>
      </c>
    </row>
    <row r="206" spans="1:19" x14ac:dyDescent="0.2">
      <c r="A206" s="1" t="s">
        <v>415</v>
      </c>
      <c r="B206" s="1" t="s">
        <v>416</v>
      </c>
      <c r="C206" s="9">
        <v>10</v>
      </c>
      <c r="D206" s="9">
        <v>0</v>
      </c>
      <c r="E206" s="9">
        <v>452</v>
      </c>
      <c r="F206" s="9">
        <f t="shared" si="3"/>
        <v>462</v>
      </c>
      <c r="H206" s="10">
        <v>82.4</v>
      </c>
      <c r="I206" s="10">
        <v>0</v>
      </c>
      <c r="J206" s="10">
        <v>83.48</v>
      </c>
      <c r="K206" s="10">
        <v>83.46</v>
      </c>
      <c r="M206" s="10">
        <v>191.17057</v>
      </c>
      <c r="N206" s="10">
        <v>178.57381000000001</v>
      </c>
      <c r="O206" s="10">
        <v>178.86207000000002</v>
      </c>
      <c r="Q206" s="21">
        <v>2269.48</v>
      </c>
      <c r="R206" s="21">
        <v>2223.77</v>
      </c>
      <c r="S206" s="21">
        <v>2224.8200000000002</v>
      </c>
    </row>
    <row r="207" spans="1:19" x14ac:dyDescent="0.2">
      <c r="A207" s="1" t="s">
        <v>417</v>
      </c>
      <c r="B207" s="1" t="s">
        <v>418</v>
      </c>
      <c r="C207" s="9">
        <v>0</v>
      </c>
      <c r="D207" s="9">
        <v>0</v>
      </c>
      <c r="E207" s="9">
        <v>58</v>
      </c>
      <c r="F207" s="9">
        <f t="shared" si="3"/>
        <v>58</v>
      </c>
      <c r="H207" s="10">
        <v>0</v>
      </c>
      <c r="I207" s="10">
        <v>0</v>
      </c>
      <c r="J207" s="10">
        <v>170.88</v>
      </c>
      <c r="K207" s="10">
        <v>170.88</v>
      </c>
      <c r="M207" s="10">
        <v>0</v>
      </c>
      <c r="N207" s="10">
        <v>274.06234000000001</v>
      </c>
      <c r="O207" s="10">
        <v>274.06234000000001</v>
      </c>
      <c r="Q207" s="21">
        <v>0</v>
      </c>
      <c r="R207" s="21">
        <v>1609.75</v>
      </c>
      <c r="S207" s="21">
        <v>1609.75</v>
      </c>
    </row>
    <row r="208" spans="1:19" x14ac:dyDescent="0.2">
      <c r="A208" s="1" t="s">
        <v>419</v>
      </c>
      <c r="B208" s="1" t="s">
        <v>420</v>
      </c>
      <c r="C208" s="9">
        <v>3</v>
      </c>
      <c r="D208" s="9">
        <v>0</v>
      </c>
      <c r="E208" s="9">
        <v>22</v>
      </c>
      <c r="F208" s="9">
        <f t="shared" si="3"/>
        <v>25</v>
      </c>
      <c r="H208" s="10">
        <v>216</v>
      </c>
      <c r="I208" s="10">
        <v>0</v>
      </c>
      <c r="J208" s="10">
        <v>151.72</v>
      </c>
      <c r="K208" s="10">
        <v>158.15</v>
      </c>
      <c r="M208" s="10">
        <v>251</v>
      </c>
      <c r="N208" s="10">
        <v>169.91829000000001</v>
      </c>
      <c r="O208" s="10">
        <v>178.45320999999998</v>
      </c>
      <c r="Q208" s="21">
        <v>1250.06</v>
      </c>
      <c r="R208" s="21">
        <v>1177.07</v>
      </c>
      <c r="S208" s="21">
        <v>1184.75</v>
      </c>
    </row>
    <row r="209" spans="1:19" x14ac:dyDescent="0.2">
      <c r="A209" s="1" t="s">
        <v>421</v>
      </c>
      <c r="B209" s="1" t="s">
        <v>422</v>
      </c>
      <c r="C209" s="9">
        <v>48</v>
      </c>
      <c r="D209" s="9">
        <v>11</v>
      </c>
      <c r="E209" s="9">
        <v>222</v>
      </c>
      <c r="F209" s="9">
        <f t="shared" si="3"/>
        <v>281</v>
      </c>
      <c r="H209" s="10">
        <v>95.93</v>
      </c>
      <c r="I209" s="10">
        <v>84.33</v>
      </c>
      <c r="J209" s="10">
        <v>97.67</v>
      </c>
      <c r="K209" s="10">
        <v>96.92</v>
      </c>
      <c r="M209" s="10">
        <v>136.31321</v>
      </c>
      <c r="N209" s="10">
        <v>116.52246000000001</v>
      </c>
      <c r="O209" s="10">
        <v>120.40663000000001</v>
      </c>
      <c r="Q209" s="21">
        <v>1508.52</v>
      </c>
      <c r="R209" s="21">
        <v>1249.29</v>
      </c>
      <c r="S209" s="21">
        <v>1300.17</v>
      </c>
    </row>
    <row r="210" spans="1:19" x14ac:dyDescent="0.2">
      <c r="A210" s="1" t="s">
        <v>423</v>
      </c>
      <c r="B210" s="1" t="s">
        <v>424</v>
      </c>
      <c r="C210" s="9">
        <v>8</v>
      </c>
      <c r="D210" s="9">
        <v>1</v>
      </c>
      <c r="E210" s="9">
        <v>57</v>
      </c>
      <c r="F210" s="9">
        <f t="shared" si="3"/>
        <v>66</v>
      </c>
      <c r="H210" s="10">
        <v>119.63</v>
      </c>
      <c r="I210" s="10">
        <v>90</v>
      </c>
      <c r="J210" s="10">
        <v>80.67</v>
      </c>
      <c r="K210" s="10">
        <v>85.93</v>
      </c>
      <c r="M210" s="10">
        <v>66.075000000000003</v>
      </c>
      <c r="N210" s="10">
        <v>67.518570000000011</v>
      </c>
      <c r="O210" s="10">
        <v>67.322829999999996</v>
      </c>
      <c r="Q210" s="21">
        <v>683.41</v>
      </c>
      <c r="R210" s="21">
        <v>863.47</v>
      </c>
      <c r="S210" s="21">
        <v>839.06</v>
      </c>
    </row>
    <row r="211" spans="1:19" x14ac:dyDescent="0.2">
      <c r="A211" s="1" t="s">
        <v>425</v>
      </c>
      <c r="B211" s="1" t="s">
        <v>426</v>
      </c>
      <c r="C211" s="9">
        <v>7</v>
      </c>
      <c r="D211" s="9">
        <v>0</v>
      </c>
      <c r="E211" s="9">
        <v>28</v>
      </c>
      <c r="F211" s="9">
        <f t="shared" si="3"/>
        <v>35</v>
      </c>
      <c r="H211" s="10">
        <v>124.25</v>
      </c>
      <c r="I211" s="10">
        <v>0</v>
      </c>
      <c r="J211" s="10">
        <v>165.1</v>
      </c>
      <c r="K211" s="10">
        <v>158.56</v>
      </c>
      <c r="M211" s="10">
        <v>183.25</v>
      </c>
      <c r="N211" s="10">
        <v>259.66309999999999</v>
      </c>
      <c r="O211" s="10">
        <v>247.43700000000001</v>
      </c>
      <c r="Q211" s="21">
        <v>1694.07</v>
      </c>
      <c r="R211" s="21">
        <v>1706.99</v>
      </c>
      <c r="S211" s="21">
        <v>1704.92</v>
      </c>
    </row>
    <row r="212" spans="1:19" x14ac:dyDescent="0.2">
      <c r="A212" s="1" t="s">
        <v>427</v>
      </c>
      <c r="B212" s="1" t="s">
        <v>428</v>
      </c>
      <c r="C212" s="9">
        <v>36</v>
      </c>
      <c r="D212" s="9">
        <v>0</v>
      </c>
      <c r="E212" s="9">
        <v>782</v>
      </c>
      <c r="F212" s="9">
        <f t="shared" si="3"/>
        <v>818</v>
      </c>
      <c r="H212" s="10">
        <v>83.65</v>
      </c>
      <c r="I212" s="10">
        <v>0</v>
      </c>
      <c r="J212" s="10">
        <v>82.97</v>
      </c>
      <c r="K212" s="10">
        <v>83</v>
      </c>
      <c r="M212" s="10">
        <v>179.34351999999998</v>
      </c>
      <c r="N212" s="10">
        <v>148.29717000000002</v>
      </c>
      <c r="O212" s="10">
        <v>149.63575</v>
      </c>
      <c r="Q212" s="21">
        <v>2519.4499999999998</v>
      </c>
      <c r="R212" s="21">
        <v>2052.11</v>
      </c>
      <c r="S212" s="21">
        <v>2072.2600000000002</v>
      </c>
    </row>
    <row r="213" spans="1:19" x14ac:dyDescent="0.2">
      <c r="A213" s="1" t="s">
        <v>429</v>
      </c>
      <c r="B213" s="1" t="s">
        <v>430</v>
      </c>
      <c r="C213" s="9">
        <v>1</v>
      </c>
      <c r="D213" s="9">
        <v>0</v>
      </c>
      <c r="E213" s="9">
        <v>272</v>
      </c>
      <c r="F213" s="9">
        <f t="shared" si="3"/>
        <v>273</v>
      </c>
      <c r="H213" s="10">
        <v>0</v>
      </c>
      <c r="I213" s="10">
        <v>0</v>
      </c>
      <c r="J213" s="10">
        <v>69.41</v>
      </c>
      <c r="K213" s="10">
        <v>69.41</v>
      </c>
      <c r="M213" s="10">
        <v>0</v>
      </c>
      <c r="N213" s="10">
        <v>132.13151000000002</v>
      </c>
      <c r="O213" s="10">
        <v>132.13151000000002</v>
      </c>
      <c r="Q213" s="21">
        <v>0</v>
      </c>
      <c r="R213" s="21">
        <v>2000.83</v>
      </c>
      <c r="S213" s="21">
        <v>2000.83</v>
      </c>
    </row>
    <row r="214" spans="1:19" x14ac:dyDescent="0.2">
      <c r="A214" s="1" t="s">
        <v>431</v>
      </c>
      <c r="B214" s="1" t="s">
        <v>432</v>
      </c>
      <c r="C214" s="9">
        <v>2</v>
      </c>
      <c r="D214" s="9">
        <v>0</v>
      </c>
      <c r="E214" s="9">
        <v>64</v>
      </c>
      <c r="F214" s="9">
        <f t="shared" si="3"/>
        <v>66</v>
      </c>
      <c r="H214" s="10">
        <v>80</v>
      </c>
      <c r="I214" s="10">
        <v>0</v>
      </c>
      <c r="J214" s="10">
        <v>131.28</v>
      </c>
      <c r="K214" s="10">
        <v>129.65</v>
      </c>
      <c r="M214" s="10">
        <v>0</v>
      </c>
      <c r="N214" s="10">
        <v>269.98955999999998</v>
      </c>
      <c r="O214" s="10">
        <v>263.89465000000001</v>
      </c>
      <c r="Q214" s="21">
        <v>0</v>
      </c>
      <c r="R214" s="21">
        <v>2167.2800000000002</v>
      </c>
      <c r="S214" s="21">
        <v>2129.4299999999998</v>
      </c>
    </row>
    <row r="215" spans="1:19" x14ac:dyDescent="0.2">
      <c r="A215" s="1" t="s">
        <v>433</v>
      </c>
      <c r="B215" s="1" t="s">
        <v>434</v>
      </c>
      <c r="C215" s="9">
        <v>16</v>
      </c>
      <c r="D215" s="9">
        <v>0</v>
      </c>
      <c r="E215" s="9">
        <v>151</v>
      </c>
      <c r="F215" s="9">
        <f t="shared" si="3"/>
        <v>167</v>
      </c>
      <c r="H215" s="10">
        <v>79.63</v>
      </c>
      <c r="I215" s="10">
        <v>0</v>
      </c>
      <c r="J215" s="10">
        <v>104</v>
      </c>
      <c r="K215" s="10">
        <v>101.59</v>
      </c>
      <c r="M215" s="10">
        <v>243.64286999999999</v>
      </c>
      <c r="N215" s="10">
        <v>280.66669999999999</v>
      </c>
      <c r="O215" s="10">
        <v>276.98730999999998</v>
      </c>
      <c r="Q215" s="21">
        <v>3078.47</v>
      </c>
      <c r="R215" s="21">
        <v>2906.74</v>
      </c>
      <c r="S215" s="21">
        <v>2923.81</v>
      </c>
    </row>
    <row r="216" spans="1:19" s="19" customFormat="1" x14ac:dyDescent="0.2">
      <c r="A216" s="15"/>
      <c r="B216" s="16" t="s">
        <v>11</v>
      </c>
      <c r="C216" s="15">
        <v>946</v>
      </c>
      <c r="D216" s="15">
        <v>20</v>
      </c>
      <c r="E216" s="15">
        <v>4253</v>
      </c>
      <c r="F216" s="17">
        <f>SUM(C216:E216)</f>
        <v>5219</v>
      </c>
      <c r="G216" s="15"/>
      <c r="H216" s="18">
        <v>125.79</v>
      </c>
      <c r="I216" s="18">
        <v>84.19</v>
      </c>
      <c r="J216" s="18">
        <v>119.79</v>
      </c>
      <c r="K216" s="18">
        <v>120.76</v>
      </c>
      <c r="L216" s="15"/>
      <c r="M216" s="18">
        <v>158.23433</v>
      </c>
      <c r="N216" s="18">
        <v>154.08026999999998</v>
      </c>
      <c r="O216" s="18">
        <v>154.84739000000002</v>
      </c>
      <c r="P216" s="15"/>
      <c r="Q216" s="20">
        <v>1322.63</v>
      </c>
      <c r="R216" s="20">
        <v>1373.68</v>
      </c>
      <c r="S216" s="20">
        <v>1364.26</v>
      </c>
    </row>
    <row r="218" spans="1:19" x14ac:dyDescent="0.2">
      <c r="B218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zoomScaleNormal="85" workbookViewId="0"/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437</v>
      </c>
    </row>
    <row r="4" spans="1:19" ht="13.5" x14ac:dyDescent="0.2">
      <c r="C4" s="4" t="s">
        <v>7</v>
      </c>
      <c r="D4" s="5"/>
      <c r="E4" s="5"/>
      <c r="F4" s="5"/>
      <c r="H4" s="11" t="s">
        <v>436</v>
      </c>
      <c r="I4" s="5"/>
      <c r="J4" s="5"/>
      <c r="K4" s="5"/>
      <c r="M4" s="11" t="s">
        <v>435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15</v>
      </c>
      <c r="B6" s="9" t="s">
        <v>16</v>
      </c>
      <c r="C6" s="9">
        <v>0</v>
      </c>
      <c r="D6" s="9">
        <v>0</v>
      </c>
      <c r="E6" s="9">
        <v>58</v>
      </c>
      <c r="F6" s="9">
        <f t="shared" ref="F6:F69" si="0">SUM(C6:E6)</f>
        <v>58</v>
      </c>
      <c r="H6" s="10">
        <v>0</v>
      </c>
      <c r="I6" s="10">
        <v>0</v>
      </c>
      <c r="J6" s="10">
        <v>125.02</v>
      </c>
      <c r="K6" s="10">
        <v>125.02</v>
      </c>
      <c r="M6" s="10">
        <v>0</v>
      </c>
      <c r="N6" s="10">
        <v>178.15033</v>
      </c>
      <c r="O6" s="10">
        <v>178.15033</v>
      </c>
      <c r="Q6" s="21">
        <v>0</v>
      </c>
      <c r="R6" s="21">
        <v>1537.97</v>
      </c>
      <c r="S6" s="21">
        <v>1537.97</v>
      </c>
    </row>
    <row r="7" spans="1:19" x14ac:dyDescent="0.2">
      <c r="A7" s="9" t="s">
        <v>17</v>
      </c>
      <c r="B7" s="9" t="s">
        <v>18</v>
      </c>
      <c r="C7" s="9">
        <v>0</v>
      </c>
      <c r="D7" s="9">
        <v>0</v>
      </c>
      <c r="E7" s="9">
        <v>10</v>
      </c>
      <c r="F7" s="9">
        <f t="shared" si="0"/>
        <v>10</v>
      </c>
      <c r="H7" s="10">
        <v>0</v>
      </c>
      <c r="I7" s="10">
        <v>0</v>
      </c>
      <c r="J7" s="10">
        <v>153.5</v>
      </c>
      <c r="K7" s="10">
        <v>153.5</v>
      </c>
      <c r="M7" s="10">
        <v>0</v>
      </c>
      <c r="N7" s="10">
        <v>67.465860000000006</v>
      </c>
      <c r="O7" s="10">
        <v>67.465860000000006</v>
      </c>
      <c r="Q7" s="21">
        <v>0</v>
      </c>
      <c r="R7" s="21">
        <v>463.78</v>
      </c>
      <c r="S7" s="21">
        <v>463.78</v>
      </c>
    </row>
    <row r="8" spans="1:19" x14ac:dyDescent="0.2">
      <c r="A8" s="9" t="s">
        <v>19</v>
      </c>
      <c r="B8" s="9" t="s">
        <v>20</v>
      </c>
      <c r="C8" s="9">
        <v>8</v>
      </c>
      <c r="D8" s="9">
        <v>2</v>
      </c>
      <c r="E8" s="9">
        <v>58</v>
      </c>
      <c r="F8" s="9">
        <f t="shared" si="0"/>
        <v>68</v>
      </c>
      <c r="H8" s="10">
        <v>126.57</v>
      </c>
      <c r="I8" s="10">
        <v>97</v>
      </c>
      <c r="J8" s="10">
        <v>83.42</v>
      </c>
      <c r="K8" s="10">
        <v>89.61</v>
      </c>
      <c r="M8" s="10">
        <v>76.285710000000009</v>
      </c>
      <c r="N8" s="10">
        <v>78.041210000000007</v>
      </c>
      <c r="O8" s="10">
        <v>77.795439999999999</v>
      </c>
      <c r="Q8" s="21">
        <v>693.28</v>
      </c>
      <c r="R8" s="21">
        <v>1081.03</v>
      </c>
      <c r="S8" s="21">
        <v>1026.74</v>
      </c>
    </row>
    <row r="9" spans="1:19" x14ac:dyDescent="0.2">
      <c r="A9" s="9" t="s">
        <v>21</v>
      </c>
      <c r="B9" s="9" t="s">
        <v>22</v>
      </c>
      <c r="C9" s="9">
        <v>13</v>
      </c>
      <c r="D9" s="9">
        <v>0</v>
      </c>
      <c r="E9" s="9">
        <v>41</v>
      </c>
      <c r="F9" s="9">
        <f t="shared" si="0"/>
        <v>54</v>
      </c>
      <c r="H9" s="10">
        <v>138.25</v>
      </c>
      <c r="I9" s="10">
        <v>0</v>
      </c>
      <c r="J9" s="10">
        <v>85.7</v>
      </c>
      <c r="K9" s="10">
        <v>92.48</v>
      </c>
      <c r="M9" s="10">
        <v>53.587499999999999</v>
      </c>
      <c r="N9" s="10">
        <v>48.44079</v>
      </c>
      <c r="O9" s="10">
        <v>48.955460000000002</v>
      </c>
      <c r="Q9" s="21">
        <v>302.7</v>
      </c>
      <c r="R9" s="21">
        <v>577.97</v>
      </c>
      <c r="S9" s="21">
        <v>550.44000000000005</v>
      </c>
    </row>
    <row r="10" spans="1:19" x14ac:dyDescent="0.2">
      <c r="A10" s="9" t="s">
        <v>23</v>
      </c>
      <c r="B10" s="9" t="s">
        <v>24</v>
      </c>
      <c r="C10" s="9">
        <v>1</v>
      </c>
      <c r="D10" s="9">
        <v>0</v>
      </c>
      <c r="E10" s="9">
        <v>2</v>
      </c>
      <c r="F10" s="9">
        <f t="shared" si="0"/>
        <v>3</v>
      </c>
      <c r="H10" s="10">
        <v>0</v>
      </c>
      <c r="I10" s="10">
        <v>0</v>
      </c>
      <c r="J10" s="10">
        <v>77</v>
      </c>
      <c r="K10" s="10">
        <v>77</v>
      </c>
      <c r="M10" s="10">
        <v>0</v>
      </c>
      <c r="N10" s="10">
        <v>0</v>
      </c>
      <c r="O10" s="10">
        <v>0</v>
      </c>
      <c r="Q10" s="21">
        <v>0</v>
      </c>
      <c r="R10" s="21">
        <v>0</v>
      </c>
      <c r="S10" s="21">
        <v>0</v>
      </c>
    </row>
    <row r="11" spans="1:19" x14ac:dyDescent="0.2">
      <c r="A11" s="9" t="s">
        <v>25</v>
      </c>
      <c r="B11" s="9" t="s">
        <v>26</v>
      </c>
      <c r="C11" s="9">
        <v>4</v>
      </c>
      <c r="D11" s="9">
        <v>0</v>
      </c>
      <c r="E11" s="9">
        <v>46</v>
      </c>
      <c r="F11" s="9">
        <f t="shared" si="0"/>
        <v>50</v>
      </c>
      <c r="H11" s="10">
        <v>241.33</v>
      </c>
      <c r="I11" s="10">
        <v>0</v>
      </c>
      <c r="J11" s="10">
        <v>176.34</v>
      </c>
      <c r="K11" s="10">
        <v>180.77</v>
      </c>
      <c r="M11" s="10">
        <v>650.62748999999997</v>
      </c>
      <c r="N11" s="10">
        <v>434.47368999999998</v>
      </c>
      <c r="O11" s="10">
        <v>449.21145000000001</v>
      </c>
      <c r="Q11" s="21">
        <v>2794.9</v>
      </c>
      <c r="R11" s="21">
        <v>2620.3000000000002</v>
      </c>
      <c r="S11" s="21">
        <v>2632.2</v>
      </c>
    </row>
    <row r="12" spans="1:19" x14ac:dyDescent="0.2">
      <c r="A12" s="9" t="s">
        <v>27</v>
      </c>
      <c r="B12" s="9" t="s">
        <v>28</v>
      </c>
      <c r="C12" s="9">
        <v>8</v>
      </c>
      <c r="D12" s="9">
        <v>0</v>
      </c>
      <c r="E12" s="9">
        <v>15</v>
      </c>
      <c r="F12" s="9">
        <f t="shared" si="0"/>
        <v>23</v>
      </c>
      <c r="H12" s="10">
        <v>172.5</v>
      </c>
      <c r="I12" s="10">
        <v>0</v>
      </c>
      <c r="J12" s="10">
        <v>120.85</v>
      </c>
      <c r="K12" s="10">
        <v>133</v>
      </c>
      <c r="M12" s="10">
        <v>63.537500000000001</v>
      </c>
      <c r="N12" s="10">
        <v>66.05913000000001</v>
      </c>
      <c r="O12" s="10">
        <v>65.338660000000004</v>
      </c>
      <c r="Q12" s="21">
        <v>393.62</v>
      </c>
      <c r="R12" s="21">
        <v>532.41999999999996</v>
      </c>
      <c r="S12" s="21">
        <v>492.76</v>
      </c>
    </row>
    <row r="13" spans="1:19" x14ac:dyDescent="0.2">
      <c r="A13" s="9" t="s">
        <v>29</v>
      </c>
      <c r="B13" s="9" t="s">
        <v>30</v>
      </c>
      <c r="C13" s="9">
        <v>5</v>
      </c>
      <c r="D13" s="9">
        <v>0</v>
      </c>
      <c r="E13" s="9">
        <v>14</v>
      </c>
      <c r="F13" s="9">
        <f t="shared" si="0"/>
        <v>19</v>
      </c>
      <c r="H13" s="10">
        <v>137.33000000000001</v>
      </c>
      <c r="I13" s="10">
        <v>0</v>
      </c>
      <c r="J13" s="10">
        <v>180.9</v>
      </c>
      <c r="K13" s="10">
        <v>170.85</v>
      </c>
      <c r="M13" s="10">
        <v>111.66667</v>
      </c>
      <c r="N13" s="10">
        <v>176.16537</v>
      </c>
      <c r="O13" s="10">
        <v>160.04069000000001</v>
      </c>
      <c r="Q13" s="21">
        <v>720.11</v>
      </c>
      <c r="R13" s="21">
        <v>1024.06</v>
      </c>
      <c r="S13" s="21">
        <v>948.07</v>
      </c>
    </row>
    <row r="14" spans="1:19" x14ac:dyDescent="0.2">
      <c r="A14" s="9" t="s">
        <v>31</v>
      </c>
      <c r="B14" s="9" t="s">
        <v>32</v>
      </c>
      <c r="C14" s="9">
        <v>16</v>
      </c>
      <c r="D14" s="9">
        <v>0</v>
      </c>
      <c r="E14" s="9">
        <v>52</v>
      </c>
      <c r="F14" s="9">
        <f t="shared" si="0"/>
        <v>68</v>
      </c>
      <c r="H14" s="10">
        <v>121</v>
      </c>
      <c r="I14" s="10">
        <v>0</v>
      </c>
      <c r="J14" s="10">
        <v>117.02</v>
      </c>
      <c r="K14" s="10">
        <v>118.06</v>
      </c>
      <c r="M14" s="10">
        <v>166.14952</v>
      </c>
      <c r="N14" s="10">
        <v>195.77609000000001</v>
      </c>
      <c r="O14" s="10">
        <v>187.74177</v>
      </c>
      <c r="Q14" s="21">
        <v>1719.1</v>
      </c>
      <c r="R14" s="21">
        <v>1980.91</v>
      </c>
      <c r="S14" s="21">
        <v>1909.91</v>
      </c>
    </row>
    <row r="15" spans="1:19" x14ac:dyDescent="0.2">
      <c r="A15" s="9" t="s">
        <v>33</v>
      </c>
      <c r="B15" s="9" t="s">
        <v>34</v>
      </c>
      <c r="C15" s="9">
        <v>2</v>
      </c>
      <c r="D15" s="9">
        <v>0</v>
      </c>
      <c r="E15" s="9">
        <v>74</v>
      </c>
      <c r="F15" s="9">
        <f t="shared" si="0"/>
        <v>76</v>
      </c>
      <c r="H15" s="10">
        <v>80</v>
      </c>
      <c r="I15" s="10">
        <v>0</v>
      </c>
      <c r="J15" s="10">
        <v>96.47</v>
      </c>
      <c r="K15" s="10">
        <v>96.04</v>
      </c>
      <c r="M15" s="10">
        <v>0</v>
      </c>
      <c r="N15" s="10">
        <v>144.81183999999999</v>
      </c>
      <c r="O15" s="10">
        <v>144.37951999999999</v>
      </c>
      <c r="Q15" s="21">
        <v>0</v>
      </c>
      <c r="R15" s="21">
        <v>1552.13</v>
      </c>
      <c r="S15" s="21">
        <v>1554.71</v>
      </c>
    </row>
    <row r="16" spans="1:19" x14ac:dyDescent="0.2">
      <c r="A16" s="9" t="s">
        <v>35</v>
      </c>
      <c r="B16" s="9" t="s">
        <v>36</v>
      </c>
      <c r="C16" s="9">
        <v>14</v>
      </c>
      <c r="D16" s="9">
        <v>0</v>
      </c>
      <c r="E16" s="9">
        <v>40</v>
      </c>
      <c r="F16" s="9">
        <f t="shared" si="0"/>
        <v>54</v>
      </c>
      <c r="H16" s="10">
        <v>192</v>
      </c>
      <c r="I16" s="10">
        <v>0</v>
      </c>
      <c r="J16" s="10">
        <v>187.58</v>
      </c>
      <c r="K16" s="10">
        <v>188.77</v>
      </c>
      <c r="M16" s="10">
        <v>213.75</v>
      </c>
      <c r="N16" s="10">
        <v>260.86347000000001</v>
      </c>
      <c r="O16" s="10">
        <v>248.17907</v>
      </c>
      <c r="Q16" s="21">
        <v>1316.02</v>
      </c>
      <c r="R16" s="21">
        <v>1474.32</v>
      </c>
      <c r="S16" s="21">
        <v>1431.7</v>
      </c>
    </row>
    <row r="17" spans="1:19" x14ac:dyDescent="0.2">
      <c r="A17" s="9" t="s">
        <v>37</v>
      </c>
      <c r="B17" s="9" t="s">
        <v>38</v>
      </c>
      <c r="C17" s="9">
        <v>2</v>
      </c>
      <c r="D17" s="9">
        <v>0</v>
      </c>
      <c r="E17" s="9">
        <v>126</v>
      </c>
      <c r="F17" s="9">
        <f t="shared" si="0"/>
        <v>128</v>
      </c>
      <c r="H17" s="10">
        <v>45</v>
      </c>
      <c r="I17" s="10">
        <v>0</v>
      </c>
      <c r="J17" s="10">
        <v>86.18</v>
      </c>
      <c r="K17" s="10">
        <v>85.46</v>
      </c>
      <c r="M17" s="10">
        <v>0</v>
      </c>
      <c r="N17" s="10">
        <v>50.919839999999994</v>
      </c>
      <c r="O17" s="10">
        <v>50.736139999999999</v>
      </c>
      <c r="Q17" s="21">
        <v>0</v>
      </c>
      <c r="R17" s="21">
        <v>596.69000000000005</v>
      </c>
      <c r="S17" s="21">
        <v>603.02</v>
      </c>
    </row>
    <row r="18" spans="1:19" x14ac:dyDescent="0.2">
      <c r="A18" s="9" t="s">
        <v>39</v>
      </c>
      <c r="B18" s="9" t="s">
        <v>40</v>
      </c>
      <c r="C18" s="9">
        <v>2</v>
      </c>
      <c r="D18" s="9">
        <v>0</v>
      </c>
      <c r="E18" s="9">
        <v>20</v>
      </c>
      <c r="F18" s="9">
        <f t="shared" si="0"/>
        <v>22</v>
      </c>
      <c r="H18" s="10">
        <v>70.5</v>
      </c>
      <c r="I18" s="10">
        <v>0</v>
      </c>
      <c r="J18" s="10">
        <v>131.18</v>
      </c>
      <c r="K18" s="10">
        <v>124.79</v>
      </c>
      <c r="M18" s="10">
        <v>0</v>
      </c>
      <c r="N18" s="10">
        <v>122.03700000000001</v>
      </c>
      <c r="O18" s="10">
        <v>114.47732999999999</v>
      </c>
      <c r="Q18" s="21">
        <v>0</v>
      </c>
      <c r="R18" s="21">
        <v>936.43</v>
      </c>
      <c r="S18" s="21">
        <v>923.12</v>
      </c>
    </row>
    <row r="19" spans="1:19" x14ac:dyDescent="0.2">
      <c r="A19" s="9" t="s">
        <v>41</v>
      </c>
      <c r="B19" s="9" t="s">
        <v>42</v>
      </c>
      <c r="C19" s="9">
        <v>1</v>
      </c>
      <c r="D19" s="9">
        <v>1</v>
      </c>
      <c r="E19" s="9">
        <v>14</v>
      </c>
      <c r="F19" s="9">
        <f t="shared" si="0"/>
        <v>16</v>
      </c>
      <c r="H19" s="10">
        <v>74</v>
      </c>
      <c r="I19" s="10">
        <v>79</v>
      </c>
      <c r="J19" s="10">
        <v>89.45</v>
      </c>
      <c r="K19" s="10">
        <v>87.46</v>
      </c>
      <c r="M19" s="10">
        <v>0</v>
      </c>
      <c r="N19" s="10">
        <v>83.05</v>
      </c>
      <c r="O19" s="10">
        <v>79.045450000000002</v>
      </c>
      <c r="Q19" s="21">
        <v>0</v>
      </c>
      <c r="R19" s="21">
        <v>884.63</v>
      </c>
      <c r="S19" s="21">
        <v>852.12</v>
      </c>
    </row>
    <row r="20" spans="1:19" x14ac:dyDescent="0.2">
      <c r="A20" s="9" t="s">
        <v>43</v>
      </c>
      <c r="B20" s="9" t="s">
        <v>44</v>
      </c>
      <c r="C20" s="9">
        <v>0</v>
      </c>
      <c r="D20" s="9">
        <v>0</v>
      </c>
      <c r="E20" s="9">
        <v>12</v>
      </c>
      <c r="F20" s="9">
        <f t="shared" si="0"/>
        <v>12</v>
      </c>
      <c r="H20" s="10">
        <v>0</v>
      </c>
      <c r="I20" s="10">
        <v>0</v>
      </c>
      <c r="J20" s="10">
        <v>82.8</v>
      </c>
      <c r="K20" s="10">
        <v>82.8</v>
      </c>
      <c r="M20" s="10">
        <v>0</v>
      </c>
      <c r="N20" s="10">
        <v>70.222220000000007</v>
      </c>
      <c r="O20" s="10">
        <v>70.222220000000007</v>
      </c>
      <c r="Q20" s="21">
        <v>0</v>
      </c>
      <c r="R20" s="21">
        <v>866.84</v>
      </c>
      <c r="S20" s="21">
        <v>866.84</v>
      </c>
    </row>
    <row r="21" spans="1:19" x14ac:dyDescent="0.2">
      <c r="A21" s="9" t="s">
        <v>45</v>
      </c>
      <c r="B21" s="9" t="s">
        <v>46</v>
      </c>
      <c r="C21" s="9">
        <v>65</v>
      </c>
      <c r="D21" s="9">
        <v>2</v>
      </c>
      <c r="E21" s="9">
        <v>91</v>
      </c>
      <c r="F21" s="9">
        <f t="shared" si="0"/>
        <v>158</v>
      </c>
      <c r="H21" s="10">
        <v>101.76</v>
      </c>
      <c r="I21" s="10">
        <v>71.5</v>
      </c>
      <c r="J21" s="10">
        <v>103.76</v>
      </c>
      <c r="K21" s="10">
        <v>102.53</v>
      </c>
      <c r="M21" s="10">
        <v>226.98683</v>
      </c>
      <c r="N21" s="10">
        <v>220.33045000000001</v>
      </c>
      <c r="O21" s="10">
        <v>223.07982000000001</v>
      </c>
      <c r="Q21" s="21">
        <v>2548.7600000000002</v>
      </c>
      <c r="R21" s="21">
        <v>2142.42</v>
      </c>
      <c r="S21" s="21">
        <v>2310.2600000000002</v>
      </c>
    </row>
    <row r="22" spans="1:19" x14ac:dyDescent="0.2">
      <c r="A22" s="9" t="s">
        <v>47</v>
      </c>
      <c r="B22" s="9" t="s">
        <v>48</v>
      </c>
      <c r="C22" s="9">
        <v>10</v>
      </c>
      <c r="D22" s="9">
        <v>0</v>
      </c>
      <c r="E22" s="9">
        <v>38</v>
      </c>
      <c r="F22" s="9">
        <f t="shared" si="0"/>
        <v>48</v>
      </c>
      <c r="H22" s="10">
        <v>111.6</v>
      </c>
      <c r="I22" s="10">
        <v>0</v>
      </c>
      <c r="J22" s="10">
        <v>116.54</v>
      </c>
      <c r="K22" s="10">
        <v>115.49</v>
      </c>
      <c r="M22" s="10">
        <v>163.38279999999997</v>
      </c>
      <c r="N22" s="10">
        <v>204.50593000000001</v>
      </c>
      <c r="O22" s="10">
        <v>195.36745999999999</v>
      </c>
      <c r="Q22" s="21">
        <v>1566.13</v>
      </c>
      <c r="R22" s="21">
        <v>1780.49</v>
      </c>
      <c r="S22" s="21">
        <v>1732.85</v>
      </c>
    </row>
    <row r="23" spans="1:19" x14ac:dyDescent="0.2">
      <c r="A23" s="9" t="s">
        <v>49</v>
      </c>
      <c r="B23" s="9" t="s">
        <v>50</v>
      </c>
      <c r="C23" s="9">
        <v>11</v>
      </c>
      <c r="D23" s="9">
        <v>0</v>
      </c>
      <c r="E23" s="9">
        <v>42</v>
      </c>
      <c r="F23" s="9">
        <f t="shared" si="0"/>
        <v>53</v>
      </c>
      <c r="H23" s="10">
        <v>153.66999999999999</v>
      </c>
      <c r="I23" s="10">
        <v>0</v>
      </c>
      <c r="J23" s="10">
        <v>119.79</v>
      </c>
      <c r="K23" s="10">
        <v>124.41</v>
      </c>
      <c r="M23" s="10">
        <v>185.66667000000001</v>
      </c>
      <c r="N23" s="10">
        <v>233.68664999999999</v>
      </c>
      <c r="O23" s="10">
        <v>227.13847000000001</v>
      </c>
      <c r="Q23" s="21">
        <v>1659.77</v>
      </c>
      <c r="R23" s="21">
        <v>2108.21</v>
      </c>
      <c r="S23" s="21">
        <v>2047.06</v>
      </c>
    </row>
    <row r="24" spans="1:19" x14ac:dyDescent="0.2">
      <c r="A24" s="9" t="s">
        <v>51</v>
      </c>
      <c r="B24" s="9" t="s">
        <v>52</v>
      </c>
      <c r="C24" s="9">
        <v>14</v>
      </c>
      <c r="D24" s="9">
        <v>0</v>
      </c>
      <c r="E24" s="9">
        <v>18</v>
      </c>
      <c r="F24" s="9">
        <f t="shared" si="0"/>
        <v>32</v>
      </c>
      <c r="H24" s="10">
        <v>187.57</v>
      </c>
      <c r="I24" s="10">
        <v>0</v>
      </c>
      <c r="J24" s="10">
        <v>119.43</v>
      </c>
      <c r="K24" s="10">
        <v>142.13999999999999</v>
      </c>
      <c r="M24" s="10">
        <v>182.94289999999998</v>
      </c>
      <c r="N24" s="10">
        <v>129.81405999999998</v>
      </c>
      <c r="O24" s="10">
        <v>147.52367000000001</v>
      </c>
      <c r="Q24" s="21">
        <v>950.72</v>
      </c>
      <c r="R24" s="21">
        <v>1509.74</v>
      </c>
      <c r="S24" s="21">
        <v>1323.4</v>
      </c>
    </row>
    <row r="25" spans="1:19" x14ac:dyDescent="0.2">
      <c r="A25" s="9" t="s">
        <v>53</v>
      </c>
      <c r="B25" s="9" t="s">
        <v>54</v>
      </c>
      <c r="C25" s="9">
        <v>245</v>
      </c>
      <c r="D25" s="9">
        <v>187</v>
      </c>
      <c r="E25" s="9">
        <v>925</v>
      </c>
      <c r="F25" s="9">
        <f t="shared" si="0"/>
        <v>1357</v>
      </c>
      <c r="H25" s="10">
        <v>79.81</v>
      </c>
      <c r="I25" s="10">
        <v>88.21</v>
      </c>
      <c r="J25" s="10">
        <v>73.86</v>
      </c>
      <c r="K25" s="10">
        <v>76.87</v>
      </c>
      <c r="M25" s="10">
        <v>197.76107999999999</v>
      </c>
      <c r="N25" s="10">
        <v>153.25295</v>
      </c>
      <c r="O25" s="10">
        <v>162.60977</v>
      </c>
      <c r="Q25" s="21">
        <v>2404.02</v>
      </c>
      <c r="R25" s="21">
        <v>2003.18</v>
      </c>
      <c r="S25" s="21">
        <v>2087.4499999999998</v>
      </c>
    </row>
    <row r="26" spans="1:19" x14ac:dyDescent="0.2">
      <c r="A26" s="9" t="s">
        <v>55</v>
      </c>
      <c r="B26" s="9" t="s">
        <v>56</v>
      </c>
      <c r="C26" s="9">
        <v>0</v>
      </c>
      <c r="D26" s="9">
        <v>7</v>
      </c>
      <c r="E26" s="9">
        <v>50</v>
      </c>
      <c r="F26" s="9">
        <f t="shared" si="0"/>
        <v>57</v>
      </c>
      <c r="H26" s="10">
        <v>0</v>
      </c>
      <c r="I26" s="10">
        <v>76.599999999999994</v>
      </c>
      <c r="J26" s="10">
        <v>78.930000000000007</v>
      </c>
      <c r="K26" s="10">
        <v>78.69</v>
      </c>
      <c r="M26" s="10">
        <v>0</v>
      </c>
      <c r="N26" s="10">
        <v>133.53201000000001</v>
      </c>
      <c r="O26" s="10">
        <v>133.53201000000001</v>
      </c>
      <c r="Q26" s="21">
        <v>0</v>
      </c>
      <c r="R26" s="21">
        <v>1717.5</v>
      </c>
      <c r="S26" s="21">
        <v>1717.5</v>
      </c>
    </row>
    <row r="27" spans="1:19" x14ac:dyDescent="0.2">
      <c r="A27" s="9" t="s">
        <v>57</v>
      </c>
      <c r="B27" s="9" t="s">
        <v>58</v>
      </c>
      <c r="C27" s="9">
        <v>8</v>
      </c>
      <c r="D27" s="9">
        <v>0</v>
      </c>
      <c r="E27" s="9">
        <v>55</v>
      </c>
      <c r="F27" s="9">
        <f t="shared" si="0"/>
        <v>63</v>
      </c>
      <c r="H27" s="10">
        <v>61.57</v>
      </c>
      <c r="I27" s="10">
        <v>0</v>
      </c>
      <c r="J27" s="10">
        <v>81.75</v>
      </c>
      <c r="K27" s="10">
        <v>79.400000000000006</v>
      </c>
      <c r="M27" s="10">
        <v>44.93571</v>
      </c>
      <c r="N27" s="10">
        <v>58.757919999999999</v>
      </c>
      <c r="O27" s="10">
        <v>56.699289999999998</v>
      </c>
      <c r="Q27" s="21">
        <v>732.06</v>
      </c>
      <c r="R27" s="21">
        <v>713.95</v>
      </c>
      <c r="S27" s="21">
        <v>716.65</v>
      </c>
    </row>
    <row r="28" spans="1:19" x14ac:dyDescent="0.2">
      <c r="A28" s="9" t="s">
        <v>59</v>
      </c>
      <c r="B28" s="9" t="s">
        <v>60</v>
      </c>
      <c r="C28" s="9">
        <v>33</v>
      </c>
      <c r="D28" s="9">
        <v>7</v>
      </c>
      <c r="E28" s="9">
        <v>51</v>
      </c>
      <c r="F28" s="9">
        <f t="shared" si="0"/>
        <v>91</v>
      </c>
      <c r="H28" s="10">
        <v>103.44</v>
      </c>
      <c r="I28" s="10">
        <v>90.33</v>
      </c>
      <c r="J28" s="10">
        <v>107.32</v>
      </c>
      <c r="K28" s="10">
        <v>104.66</v>
      </c>
      <c r="M28" s="10">
        <v>112.15625</v>
      </c>
      <c r="N28" s="10">
        <v>126.25749999999999</v>
      </c>
      <c r="O28" s="10">
        <v>119.99028</v>
      </c>
      <c r="Q28" s="21">
        <v>1225.8699999999999</v>
      </c>
      <c r="R28" s="21">
        <v>1221.8399999999999</v>
      </c>
      <c r="S28" s="21">
        <v>1223.6300000000001</v>
      </c>
    </row>
    <row r="29" spans="1:19" x14ac:dyDescent="0.2">
      <c r="A29" s="9" t="s">
        <v>61</v>
      </c>
      <c r="B29" s="9" t="s">
        <v>62</v>
      </c>
      <c r="C29" s="9">
        <v>9</v>
      </c>
      <c r="D29" s="9">
        <v>1</v>
      </c>
      <c r="E29" s="9">
        <v>145</v>
      </c>
      <c r="F29" s="9">
        <f t="shared" si="0"/>
        <v>155</v>
      </c>
      <c r="H29" s="10">
        <v>89.29</v>
      </c>
      <c r="I29" s="10">
        <v>0</v>
      </c>
      <c r="J29" s="10">
        <v>90.41</v>
      </c>
      <c r="K29" s="10">
        <v>90.36</v>
      </c>
      <c r="M29" s="10">
        <v>178.63642999999999</v>
      </c>
      <c r="N29" s="10">
        <v>160.04982000000001</v>
      </c>
      <c r="O29" s="10">
        <v>161.14314999999999</v>
      </c>
      <c r="Q29" s="21">
        <v>2211.71</v>
      </c>
      <c r="R29" s="21">
        <v>1772.97</v>
      </c>
      <c r="S29" s="21">
        <v>1798.78</v>
      </c>
    </row>
    <row r="30" spans="1:19" x14ac:dyDescent="0.2">
      <c r="A30" s="9" t="s">
        <v>63</v>
      </c>
      <c r="B30" s="9" t="s">
        <v>64</v>
      </c>
      <c r="C30" s="9">
        <v>445</v>
      </c>
      <c r="D30" s="9">
        <v>20</v>
      </c>
      <c r="E30" s="9">
        <v>6585</v>
      </c>
      <c r="F30" s="9">
        <f t="shared" si="0"/>
        <v>7050</v>
      </c>
      <c r="H30" s="10">
        <v>82.83</v>
      </c>
      <c r="I30" s="10">
        <v>72.39</v>
      </c>
      <c r="J30" s="10">
        <v>76.599999999999994</v>
      </c>
      <c r="K30" s="10">
        <v>76.989999999999995</v>
      </c>
      <c r="M30" s="10">
        <v>401.17432000000002</v>
      </c>
      <c r="N30" s="10">
        <v>317.99182000000002</v>
      </c>
      <c r="O30" s="10">
        <v>325.32923</v>
      </c>
      <c r="Q30" s="21">
        <v>4426.7700000000004</v>
      </c>
      <c r="R30" s="21">
        <v>3788.15</v>
      </c>
      <c r="S30" s="21">
        <v>3844.48</v>
      </c>
    </row>
    <row r="31" spans="1:19" x14ac:dyDescent="0.2">
      <c r="A31" s="9" t="s">
        <v>65</v>
      </c>
      <c r="B31" s="9" t="s">
        <v>66</v>
      </c>
      <c r="C31" s="9">
        <v>0</v>
      </c>
      <c r="D31" s="9">
        <v>0</v>
      </c>
      <c r="E31" s="9">
        <v>41</v>
      </c>
      <c r="F31" s="9">
        <f t="shared" si="0"/>
        <v>41</v>
      </c>
      <c r="H31" s="10">
        <v>0</v>
      </c>
      <c r="I31" s="10">
        <v>0</v>
      </c>
      <c r="J31" s="10">
        <v>189.21</v>
      </c>
      <c r="K31" s="10">
        <v>189.21</v>
      </c>
      <c r="M31" s="10">
        <v>0</v>
      </c>
      <c r="N31" s="10">
        <v>325.05446000000001</v>
      </c>
      <c r="O31" s="10">
        <v>325.05446000000001</v>
      </c>
      <c r="Q31" s="21">
        <v>0</v>
      </c>
      <c r="R31" s="21">
        <v>1897.34</v>
      </c>
      <c r="S31" s="21">
        <v>1897.34</v>
      </c>
    </row>
    <row r="32" spans="1:19" x14ac:dyDescent="0.2">
      <c r="A32" s="9" t="s">
        <v>67</v>
      </c>
      <c r="B32" s="9" t="s">
        <v>68</v>
      </c>
      <c r="C32" s="9">
        <v>6</v>
      </c>
      <c r="D32" s="9">
        <v>0</v>
      </c>
      <c r="E32" s="9">
        <v>57</v>
      </c>
      <c r="F32" s="9">
        <f t="shared" si="0"/>
        <v>63</v>
      </c>
      <c r="H32" s="10">
        <v>87.5</v>
      </c>
      <c r="I32" s="10">
        <v>0</v>
      </c>
      <c r="J32" s="10">
        <v>93.13</v>
      </c>
      <c r="K32" s="10">
        <v>92.73</v>
      </c>
      <c r="M32" s="10">
        <v>104.29</v>
      </c>
      <c r="N32" s="10">
        <v>95.107960000000006</v>
      </c>
      <c r="O32" s="10">
        <v>95.775739999999999</v>
      </c>
      <c r="Q32" s="21">
        <v>1126.5899999999999</v>
      </c>
      <c r="R32" s="21">
        <v>982.07</v>
      </c>
      <c r="S32" s="21">
        <v>992.58</v>
      </c>
    </row>
    <row r="33" spans="1:19" x14ac:dyDescent="0.2">
      <c r="A33" s="9" t="s">
        <v>69</v>
      </c>
      <c r="B33" s="9" t="s">
        <v>70</v>
      </c>
      <c r="C33" s="9">
        <v>10</v>
      </c>
      <c r="D33" s="9">
        <v>0</v>
      </c>
      <c r="E33" s="9">
        <v>52</v>
      </c>
      <c r="F33" s="9">
        <f t="shared" si="0"/>
        <v>62</v>
      </c>
      <c r="H33" s="10">
        <v>240.25</v>
      </c>
      <c r="I33" s="10">
        <v>0</v>
      </c>
      <c r="J33" s="10">
        <v>157.5</v>
      </c>
      <c r="K33" s="10">
        <v>169.76</v>
      </c>
      <c r="M33" s="10">
        <v>181.68615</v>
      </c>
      <c r="N33" s="10">
        <v>177.16522000000001</v>
      </c>
      <c r="O33" s="10">
        <v>177.82281</v>
      </c>
      <c r="Q33" s="21">
        <v>822.25</v>
      </c>
      <c r="R33" s="21">
        <v>1221.22</v>
      </c>
      <c r="S33" s="21">
        <v>1163.19</v>
      </c>
    </row>
    <row r="34" spans="1:19" x14ac:dyDescent="0.2">
      <c r="A34" s="9" t="s">
        <v>71</v>
      </c>
      <c r="B34" s="9" t="s">
        <v>72</v>
      </c>
      <c r="C34" s="9">
        <v>13</v>
      </c>
      <c r="D34" s="9">
        <v>0</v>
      </c>
      <c r="E34" s="9">
        <v>41</v>
      </c>
      <c r="F34" s="9">
        <f t="shared" si="0"/>
        <v>54</v>
      </c>
      <c r="H34" s="10">
        <v>143.54</v>
      </c>
      <c r="I34" s="10">
        <v>0</v>
      </c>
      <c r="J34" s="10">
        <v>107.8</v>
      </c>
      <c r="K34" s="10">
        <v>116.4</v>
      </c>
      <c r="M34" s="10">
        <v>116.26922999999999</v>
      </c>
      <c r="N34" s="10">
        <v>94.75855</v>
      </c>
      <c r="O34" s="10">
        <v>100.83766</v>
      </c>
      <c r="Q34" s="21">
        <v>797.74</v>
      </c>
      <c r="R34" s="21">
        <v>761.06</v>
      </c>
      <c r="S34" s="21">
        <v>771.43</v>
      </c>
    </row>
    <row r="35" spans="1:19" x14ac:dyDescent="0.2">
      <c r="A35" s="9" t="s">
        <v>73</v>
      </c>
      <c r="B35" s="9" t="s">
        <v>74</v>
      </c>
      <c r="C35" s="9">
        <v>29</v>
      </c>
      <c r="D35" s="9">
        <v>1</v>
      </c>
      <c r="E35" s="9">
        <v>251</v>
      </c>
      <c r="F35" s="9">
        <f t="shared" si="0"/>
        <v>281</v>
      </c>
      <c r="H35" s="10">
        <v>79.67</v>
      </c>
      <c r="I35" s="10">
        <v>82</v>
      </c>
      <c r="J35" s="10">
        <v>73.34</v>
      </c>
      <c r="K35" s="10">
        <v>74.069999999999993</v>
      </c>
      <c r="M35" s="10">
        <v>154.62821</v>
      </c>
      <c r="N35" s="10">
        <v>112.87461</v>
      </c>
      <c r="O35" s="10">
        <v>117.55239999999999</v>
      </c>
      <c r="Q35" s="21">
        <v>1963.08</v>
      </c>
      <c r="R35" s="21">
        <v>1584.79</v>
      </c>
      <c r="S35" s="21">
        <v>1627.17</v>
      </c>
    </row>
    <row r="36" spans="1:19" x14ac:dyDescent="0.2">
      <c r="A36" s="9" t="s">
        <v>75</v>
      </c>
      <c r="B36" s="9" t="s">
        <v>76</v>
      </c>
      <c r="C36" s="9">
        <v>10</v>
      </c>
      <c r="D36" s="9">
        <v>0</v>
      </c>
      <c r="E36" s="9">
        <v>17</v>
      </c>
      <c r="F36" s="9">
        <f t="shared" si="0"/>
        <v>27</v>
      </c>
      <c r="H36" s="10">
        <v>104.8</v>
      </c>
      <c r="I36" s="10">
        <v>0</v>
      </c>
      <c r="J36" s="10">
        <v>97.79</v>
      </c>
      <c r="K36" s="10">
        <v>100.71</v>
      </c>
      <c r="M36" s="10">
        <v>61.678089999999997</v>
      </c>
      <c r="N36" s="10">
        <v>55.73583</v>
      </c>
      <c r="O36" s="10">
        <v>58.436860000000003</v>
      </c>
      <c r="Q36" s="21">
        <v>639.86</v>
      </c>
      <c r="R36" s="21">
        <v>627.92999999999995</v>
      </c>
      <c r="S36" s="21">
        <v>633.35</v>
      </c>
    </row>
    <row r="37" spans="1:19" x14ac:dyDescent="0.2">
      <c r="A37" s="9" t="s">
        <v>77</v>
      </c>
      <c r="B37" s="9" t="s">
        <v>78</v>
      </c>
      <c r="C37" s="9">
        <v>1</v>
      </c>
      <c r="D37" s="9">
        <v>0</v>
      </c>
      <c r="E37" s="9">
        <v>43</v>
      </c>
      <c r="F37" s="9">
        <f t="shared" si="0"/>
        <v>44</v>
      </c>
      <c r="H37" s="10">
        <v>173</v>
      </c>
      <c r="I37" s="10">
        <v>0</v>
      </c>
      <c r="J37" s="10">
        <v>202</v>
      </c>
      <c r="K37" s="10">
        <v>201.29</v>
      </c>
      <c r="M37" s="10">
        <v>0</v>
      </c>
      <c r="N37" s="10">
        <v>410.04311999999999</v>
      </c>
      <c r="O37" s="10">
        <v>413.45672999999999</v>
      </c>
      <c r="Q37" s="21">
        <v>0</v>
      </c>
      <c r="R37" s="21">
        <v>2153.09</v>
      </c>
      <c r="S37" s="21">
        <v>2178.12</v>
      </c>
    </row>
    <row r="38" spans="1:19" x14ac:dyDescent="0.2">
      <c r="A38" s="9" t="s">
        <v>79</v>
      </c>
      <c r="B38" s="9" t="s">
        <v>80</v>
      </c>
      <c r="C38" s="9">
        <v>117</v>
      </c>
      <c r="D38" s="9">
        <v>0</v>
      </c>
      <c r="E38" s="9">
        <v>164</v>
      </c>
      <c r="F38" s="9">
        <f t="shared" si="0"/>
        <v>281</v>
      </c>
      <c r="H38" s="10">
        <v>79.84</v>
      </c>
      <c r="I38" s="10">
        <v>0</v>
      </c>
      <c r="J38" s="10">
        <v>93.71</v>
      </c>
      <c r="K38" s="10">
        <v>87.95</v>
      </c>
      <c r="M38" s="10">
        <v>124.50431</v>
      </c>
      <c r="N38" s="10">
        <v>121.65305000000001</v>
      </c>
      <c r="O38" s="10">
        <v>122.85014</v>
      </c>
      <c r="Q38" s="21">
        <v>1614.6</v>
      </c>
      <c r="R38" s="21">
        <v>1459.76</v>
      </c>
      <c r="S38" s="21">
        <v>1524.77</v>
      </c>
    </row>
    <row r="39" spans="1:19" x14ac:dyDescent="0.2">
      <c r="A39" s="9" t="s">
        <v>81</v>
      </c>
      <c r="B39" s="9" t="s">
        <v>82</v>
      </c>
      <c r="C39" s="9">
        <v>5</v>
      </c>
      <c r="D39" s="9">
        <v>0</v>
      </c>
      <c r="E39" s="9">
        <v>37</v>
      </c>
      <c r="F39" s="9">
        <f t="shared" si="0"/>
        <v>42</v>
      </c>
      <c r="H39" s="10">
        <v>185.75</v>
      </c>
      <c r="I39" s="10">
        <v>0</v>
      </c>
      <c r="J39" s="10">
        <v>163.91</v>
      </c>
      <c r="K39" s="10">
        <v>166.34</v>
      </c>
      <c r="M39" s="10">
        <v>553.72375</v>
      </c>
      <c r="N39" s="10">
        <v>252.92891</v>
      </c>
      <c r="O39" s="10">
        <v>286.35055999999997</v>
      </c>
      <c r="Q39" s="21">
        <v>2491.27</v>
      </c>
      <c r="R39" s="21">
        <v>1568.31</v>
      </c>
      <c r="S39" s="21">
        <v>1670.86</v>
      </c>
    </row>
    <row r="40" spans="1:19" x14ac:dyDescent="0.2">
      <c r="A40" s="9" t="s">
        <v>83</v>
      </c>
      <c r="B40" s="9" t="s">
        <v>84</v>
      </c>
      <c r="C40" s="9">
        <v>32</v>
      </c>
      <c r="D40" s="9">
        <v>0</v>
      </c>
      <c r="E40" s="9">
        <v>57</v>
      </c>
      <c r="F40" s="9">
        <f t="shared" si="0"/>
        <v>89</v>
      </c>
      <c r="H40" s="10">
        <v>141.80000000000001</v>
      </c>
      <c r="I40" s="10">
        <v>0</v>
      </c>
      <c r="J40" s="10">
        <v>128.4</v>
      </c>
      <c r="K40" s="10">
        <v>133.24</v>
      </c>
      <c r="M40" s="10">
        <v>190.67649</v>
      </c>
      <c r="N40" s="10">
        <v>172.83457000000001</v>
      </c>
      <c r="O40" s="10">
        <v>179.28345999999999</v>
      </c>
      <c r="Q40" s="21">
        <v>1591.06</v>
      </c>
      <c r="R40" s="21">
        <v>1453.66</v>
      </c>
      <c r="S40" s="21">
        <v>1503.32</v>
      </c>
    </row>
    <row r="41" spans="1:19" x14ac:dyDescent="0.2">
      <c r="A41" s="9" t="s">
        <v>85</v>
      </c>
      <c r="B41" s="9" t="s">
        <v>86</v>
      </c>
      <c r="C41" s="9">
        <v>27</v>
      </c>
      <c r="D41" s="9">
        <v>1</v>
      </c>
      <c r="E41" s="9">
        <v>107</v>
      </c>
      <c r="F41" s="9">
        <f t="shared" si="0"/>
        <v>135</v>
      </c>
      <c r="H41" s="10">
        <v>77.92</v>
      </c>
      <c r="I41" s="10">
        <v>87</v>
      </c>
      <c r="J41" s="10">
        <v>82.26</v>
      </c>
      <c r="K41" s="10">
        <v>81.41</v>
      </c>
      <c r="M41" s="10">
        <v>138.64173000000002</v>
      </c>
      <c r="N41" s="10">
        <v>125.81135</v>
      </c>
      <c r="O41" s="10">
        <v>128.60056</v>
      </c>
      <c r="Q41" s="21">
        <v>1764.39</v>
      </c>
      <c r="R41" s="21">
        <v>1539.61</v>
      </c>
      <c r="S41" s="21">
        <v>1588.48</v>
      </c>
    </row>
    <row r="42" spans="1:19" x14ac:dyDescent="0.2">
      <c r="A42" s="9" t="s">
        <v>87</v>
      </c>
      <c r="B42" s="9" t="s">
        <v>88</v>
      </c>
      <c r="C42" s="9">
        <v>33</v>
      </c>
      <c r="D42" s="9">
        <v>0</v>
      </c>
      <c r="E42" s="9">
        <v>148</v>
      </c>
      <c r="F42" s="9">
        <f t="shared" si="0"/>
        <v>181</v>
      </c>
      <c r="H42" s="10">
        <v>101</v>
      </c>
      <c r="I42" s="10">
        <v>0</v>
      </c>
      <c r="J42" s="10">
        <v>100.16</v>
      </c>
      <c r="K42" s="10">
        <v>100.3</v>
      </c>
      <c r="M42" s="10">
        <v>219.97860999999997</v>
      </c>
      <c r="N42" s="10">
        <v>183.81488000000002</v>
      </c>
      <c r="O42" s="10">
        <v>189.87826000000001</v>
      </c>
      <c r="Q42" s="21">
        <v>2081.89</v>
      </c>
      <c r="R42" s="21">
        <v>2049.4</v>
      </c>
      <c r="S42" s="21">
        <v>2054.85</v>
      </c>
    </row>
    <row r="43" spans="1:19" x14ac:dyDescent="0.2">
      <c r="A43" s="9" t="s">
        <v>89</v>
      </c>
      <c r="B43" s="9" t="s">
        <v>90</v>
      </c>
      <c r="C43" s="9">
        <v>9</v>
      </c>
      <c r="D43" s="9">
        <v>0</v>
      </c>
      <c r="E43" s="9">
        <v>355</v>
      </c>
      <c r="F43" s="9">
        <f t="shared" si="0"/>
        <v>364</v>
      </c>
      <c r="H43" s="10">
        <v>143.63</v>
      </c>
      <c r="I43" s="10">
        <v>0</v>
      </c>
      <c r="J43" s="10">
        <v>94.9</v>
      </c>
      <c r="K43" s="10">
        <v>96.13</v>
      </c>
      <c r="M43" s="10">
        <v>270.89542</v>
      </c>
      <c r="N43" s="10">
        <v>161.52029000000002</v>
      </c>
      <c r="O43" s="10">
        <v>164.30692000000002</v>
      </c>
      <c r="Q43" s="21">
        <v>1806.13</v>
      </c>
      <c r="R43" s="21">
        <v>1792.28</v>
      </c>
      <c r="S43" s="21">
        <v>1792.63</v>
      </c>
    </row>
    <row r="44" spans="1:19" x14ac:dyDescent="0.2">
      <c r="A44" s="9" t="s">
        <v>91</v>
      </c>
      <c r="B44" s="9" t="s">
        <v>92</v>
      </c>
      <c r="C44" s="9">
        <v>36</v>
      </c>
      <c r="D44" s="9">
        <v>2</v>
      </c>
      <c r="E44" s="9">
        <v>85</v>
      </c>
      <c r="F44" s="9">
        <f t="shared" si="0"/>
        <v>123</v>
      </c>
      <c r="H44" s="10">
        <v>91.17</v>
      </c>
      <c r="I44" s="10">
        <v>77</v>
      </c>
      <c r="J44" s="10">
        <v>103.6</v>
      </c>
      <c r="K44" s="10">
        <v>99.53</v>
      </c>
      <c r="M44" s="10">
        <v>207.69570999999999</v>
      </c>
      <c r="N44" s="10">
        <v>187.32765000000001</v>
      </c>
      <c r="O44" s="10">
        <v>193.52662000000001</v>
      </c>
      <c r="Q44" s="21">
        <v>2721.55</v>
      </c>
      <c r="R44" s="21">
        <v>1867.21</v>
      </c>
      <c r="S44" s="21">
        <v>2127.23</v>
      </c>
    </row>
    <row r="45" spans="1:19" x14ac:dyDescent="0.2">
      <c r="A45" s="9" t="s">
        <v>93</v>
      </c>
      <c r="B45" s="9" t="s">
        <v>94</v>
      </c>
      <c r="C45" s="9">
        <v>0</v>
      </c>
      <c r="D45" s="9">
        <v>0</v>
      </c>
      <c r="E45" s="9">
        <v>0</v>
      </c>
      <c r="F45" s="9">
        <f t="shared" si="0"/>
        <v>0</v>
      </c>
      <c r="H45" s="10">
        <v>0</v>
      </c>
      <c r="I45" s="10">
        <v>0</v>
      </c>
      <c r="J45" s="10">
        <v>0</v>
      </c>
      <c r="K45" s="10">
        <v>0</v>
      </c>
      <c r="M45" s="10">
        <v>0</v>
      </c>
      <c r="N45" s="10">
        <v>0</v>
      </c>
      <c r="O45" s="10">
        <v>0</v>
      </c>
      <c r="Q45" s="21">
        <v>0</v>
      </c>
      <c r="R45" s="21">
        <v>0</v>
      </c>
      <c r="S45" s="21">
        <v>0</v>
      </c>
    </row>
    <row r="46" spans="1:19" x14ac:dyDescent="0.2">
      <c r="A46" s="9" t="s">
        <v>95</v>
      </c>
      <c r="B46" s="9" t="s">
        <v>96</v>
      </c>
      <c r="C46" s="9">
        <v>15</v>
      </c>
      <c r="D46" s="9">
        <v>2</v>
      </c>
      <c r="E46" s="9">
        <v>47</v>
      </c>
      <c r="F46" s="9">
        <f t="shared" si="0"/>
        <v>64</v>
      </c>
      <c r="H46" s="10">
        <v>85.17</v>
      </c>
      <c r="I46" s="10">
        <v>90</v>
      </c>
      <c r="J46" s="10">
        <v>86.06</v>
      </c>
      <c r="K46" s="10">
        <v>85.91</v>
      </c>
      <c r="M46" s="10">
        <v>105.29167</v>
      </c>
      <c r="N46" s="10">
        <v>91.379469999999998</v>
      </c>
      <c r="O46" s="10">
        <v>95.261939999999996</v>
      </c>
      <c r="Q46" s="21">
        <v>1061.3499999999999</v>
      </c>
      <c r="R46" s="21">
        <v>1017.36</v>
      </c>
      <c r="S46" s="21">
        <v>1029.6400000000001</v>
      </c>
    </row>
    <row r="47" spans="1:19" x14ac:dyDescent="0.2">
      <c r="A47" s="9" t="s">
        <v>97</v>
      </c>
      <c r="B47" s="9" t="s">
        <v>98</v>
      </c>
      <c r="C47" s="9">
        <v>2</v>
      </c>
      <c r="D47" s="9">
        <v>0</v>
      </c>
      <c r="E47" s="9">
        <v>9</v>
      </c>
      <c r="F47" s="9">
        <f t="shared" si="0"/>
        <v>11</v>
      </c>
      <c r="H47" s="10">
        <v>54</v>
      </c>
      <c r="I47" s="10">
        <v>0</v>
      </c>
      <c r="J47" s="10">
        <v>73.22</v>
      </c>
      <c r="K47" s="10">
        <v>71.3</v>
      </c>
      <c r="M47" s="10">
        <v>0</v>
      </c>
      <c r="N47" s="10">
        <v>79.119169999999997</v>
      </c>
      <c r="O47" s="10">
        <v>80.207250000000002</v>
      </c>
      <c r="Q47" s="21">
        <v>0</v>
      </c>
      <c r="R47" s="21">
        <v>1091.4000000000001</v>
      </c>
      <c r="S47" s="21">
        <v>1148.93</v>
      </c>
    </row>
    <row r="48" spans="1:19" x14ac:dyDescent="0.2">
      <c r="A48" s="9" t="s">
        <v>99</v>
      </c>
      <c r="B48" s="9" t="s">
        <v>100</v>
      </c>
      <c r="C48" s="9">
        <v>4</v>
      </c>
      <c r="D48" s="9">
        <v>0</v>
      </c>
      <c r="E48" s="9">
        <v>75</v>
      </c>
      <c r="F48" s="9">
        <f t="shared" si="0"/>
        <v>79</v>
      </c>
      <c r="H48" s="10">
        <v>213</v>
      </c>
      <c r="I48" s="10">
        <v>0</v>
      </c>
      <c r="J48" s="10">
        <v>110.77</v>
      </c>
      <c r="K48" s="10">
        <v>114.91</v>
      </c>
      <c r="M48" s="10">
        <v>466</v>
      </c>
      <c r="N48" s="10">
        <v>172.65332000000001</v>
      </c>
      <c r="O48" s="10">
        <v>184.70866000000001</v>
      </c>
      <c r="Q48" s="21">
        <v>2310.06</v>
      </c>
      <c r="R48" s="21">
        <v>1711.05</v>
      </c>
      <c r="S48" s="21">
        <v>1735.67</v>
      </c>
    </row>
    <row r="49" spans="1:19" x14ac:dyDescent="0.2">
      <c r="A49" s="9" t="s">
        <v>101</v>
      </c>
      <c r="B49" s="9" t="s">
        <v>102</v>
      </c>
      <c r="C49" s="9">
        <v>13</v>
      </c>
      <c r="D49" s="9">
        <v>3</v>
      </c>
      <c r="E49" s="9">
        <v>23</v>
      </c>
      <c r="F49" s="9">
        <f t="shared" si="0"/>
        <v>39</v>
      </c>
      <c r="H49" s="10">
        <v>89.27</v>
      </c>
      <c r="I49" s="10">
        <v>106</v>
      </c>
      <c r="J49" s="10">
        <v>128.55000000000001</v>
      </c>
      <c r="K49" s="10">
        <v>114.34</v>
      </c>
      <c r="M49" s="10">
        <v>86.713639999999998</v>
      </c>
      <c r="N49" s="10">
        <v>138.82563000000002</v>
      </c>
      <c r="O49" s="10">
        <v>120.33427999999999</v>
      </c>
      <c r="Q49" s="21">
        <v>976.24</v>
      </c>
      <c r="R49" s="21">
        <v>1096.54</v>
      </c>
      <c r="S49" s="21">
        <v>1053.8499999999999</v>
      </c>
    </row>
    <row r="50" spans="1:19" x14ac:dyDescent="0.2">
      <c r="A50" s="9" t="s">
        <v>103</v>
      </c>
      <c r="B50" s="9" t="s">
        <v>104</v>
      </c>
      <c r="C50" s="9">
        <v>20</v>
      </c>
      <c r="D50" s="9">
        <v>0</v>
      </c>
      <c r="E50" s="9">
        <v>114</v>
      </c>
      <c r="F50" s="9">
        <f t="shared" si="0"/>
        <v>134</v>
      </c>
      <c r="H50" s="10">
        <v>145.5</v>
      </c>
      <c r="I50" s="10">
        <v>0</v>
      </c>
      <c r="J50" s="10">
        <v>134.28</v>
      </c>
      <c r="K50" s="10">
        <v>136.15</v>
      </c>
      <c r="M50" s="10">
        <v>100.465</v>
      </c>
      <c r="N50" s="10">
        <v>202.47761</v>
      </c>
      <c r="O50" s="10">
        <v>185.33262999999999</v>
      </c>
      <c r="Q50" s="21">
        <v>829.6</v>
      </c>
      <c r="R50" s="21">
        <v>1689.07</v>
      </c>
      <c r="S50" s="21">
        <v>1544.62</v>
      </c>
    </row>
    <row r="51" spans="1:19" x14ac:dyDescent="0.2">
      <c r="A51" s="9" t="s">
        <v>105</v>
      </c>
      <c r="B51" s="9" t="s">
        <v>106</v>
      </c>
      <c r="C51" s="9">
        <v>0</v>
      </c>
      <c r="D51" s="9">
        <v>0</v>
      </c>
      <c r="E51" s="9">
        <v>61</v>
      </c>
      <c r="F51" s="9">
        <f t="shared" si="0"/>
        <v>61</v>
      </c>
      <c r="H51" s="10">
        <v>0</v>
      </c>
      <c r="I51" s="10">
        <v>0</v>
      </c>
      <c r="J51" s="10">
        <v>133.19</v>
      </c>
      <c r="K51" s="10">
        <v>133.19</v>
      </c>
      <c r="M51" s="10">
        <v>0</v>
      </c>
      <c r="N51" s="10">
        <v>216.21407000000002</v>
      </c>
      <c r="O51" s="10">
        <v>216.21407000000002</v>
      </c>
      <c r="Q51" s="21">
        <v>0</v>
      </c>
      <c r="R51" s="21">
        <v>1891.87</v>
      </c>
      <c r="S51" s="21">
        <v>1891.87</v>
      </c>
    </row>
    <row r="52" spans="1:19" x14ac:dyDescent="0.2">
      <c r="A52" s="9" t="s">
        <v>107</v>
      </c>
      <c r="B52" s="9" t="s">
        <v>108</v>
      </c>
      <c r="C52" s="9">
        <v>23</v>
      </c>
      <c r="D52" s="9">
        <v>0</v>
      </c>
      <c r="E52" s="9">
        <v>347</v>
      </c>
      <c r="F52" s="9">
        <f t="shared" si="0"/>
        <v>370</v>
      </c>
      <c r="H52" s="10">
        <v>88.73</v>
      </c>
      <c r="I52" s="10">
        <v>0</v>
      </c>
      <c r="J52" s="10">
        <v>92.6</v>
      </c>
      <c r="K52" s="10">
        <v>92.34</v>
      </c>
      <c r="M52" s="10">
        <v>262.80190000000005</v>
      </c>
      <c r="N52" s="10">
        <v>277.02233000000001</v>
      </c>
      <c r="O52" s="10">
        <v>276.04771999999997</v>
      </c>
      <c r="Q52" s="21">
        <v>3043.87</v>
      </c>
      <c r="R52" s="21">
        <v>3110.88</v>
      </c>
      <c r="S52" s="21">
        <v>3106.29</v>
      </c>
    </row>
    <row r="53" spans="1:19" x14ac:dyDescent="0.2">
      <c r="A53" s="9" t="s">
        <v>109</v>
      </c>
      <c r="B53" s="9" t="s">
        <v>110</v>
      </c>
      <c r="C53" s="9">
        <v>21</v>
      </c>
      <c r="D53" s="9">
        <v>0</v>
      </c>
      <c r="E53" s="9">
        <v>251</v>
      </c>
      <c r="F53" s="9">
        <f t="shared" si="0"/>
        <v>272</v>
      </c>
      <c r="H53" s="10">
        <v>142.38999999999999</v>
      </c>
      <c r="I53" s="10">
        <v>0</v>
      </c>
      <c r="J53" s="10">
        <v>82.95</v>
      </c>
      <c r="K53" s="10">
        <v>87.35</v>
      </c>
      <c r="M53" s="10">
        <v>340.67</v>
      </c>
      <c r="N53" s="10">
        <v>150.23604</v>
      </c>
      <c r="O53" s="10">
        <v>163.95373999999998</v>
      </c>
      <c r="Q53" s="21">
        <v>2401.7800000000002</v>
      </c>
      <c r="R53" s="21">
        <v>1861.8</v>
      </c>
      <c r="S53" s="21">
        <v>1900.7</v>
      </c>
    </row>
    <row r="54" spans="1:19" x14ac:dyDescent="0.2">
      <c r="A54" s="9" t="s">
        <v>111</v>
      </c>
      <c r="B54" s="9" t="s">
        <v>112</v>
      </c>
      <c r="C54" s="9">
        <v>0</v>
      </c>
      <c r="D54" s="9">
        <v>0</v>
      </c>
      <c r="E54" s="9">
        <v>211</v>
      </c>
      <c r="F54" s="9">
        <f t="shared" si="0"/>
        <v>211</v>
      </c>
      <c r="H54" s="10">
        <v>0</v>
      </c>
      <c r="I54" s="10">
        <v>0</v>
      </c>
      <c r="J54" s="10">
        <v>90.14</v>
      </c>
      <c r="K54" s="10">
        <v>90.14</v>
      </c>
      <c r="M54" s="10">
        <v>0</v>
      </c>
      <c r="N54" s="10">
        <v>204.99716000000001</v>
      </c>
      <c r="O54" s="10">
        <v>204.99716000000001</v>
      </c>
      <c r="Q54" s="21">
        <v>0</v>
      </c>
      <c r="R54" s="21">
        <v>2223.44</v>
      </c>
      <c r="S54" s="21">
        <v>2223.44</v>
      </c>
    </row>
    <row r="55" spans="1:19" x14ac:dyDescent="0.2">
      <c r="A55" s="9" t="s">
        <v>113</v>
      </c>
      <c r="B55" s="9" t="s">
        <v>114</v>
      </c>
      <c r="C55" s="9">
        <v>5</v>
      </c>
      <c r="D55" s="9">
        <v>0</v>
      </c>
      <c r="E55" s="9">
        <v>16</v>
      </c>
      <c r="F55" s="9">
        <f t="shared" si="0"/>
        <v>21</v>
      </c>
      <c r="H55" s="10">
        <v>140.4</v>
      </c>
      <c r="I55" s="10">
        <v>0</v>
      </c>
      <c r="J55" s="10">
        <v>147.5</v>
      </c>
      <c r="K55" s="10">
        <v>145.81</v>
      </c>
      <c r="M55" s="10">
        <v>211.4</v>
      </c>
      <c r="N55" s="10">
        <v>168.11424</v>
      </c>
      <c r="O55" s="10">
        <v>178.42036999999999</v>
      </c>
      <c r="Q55" s="21">
        <v>1541.11</v>
      </c>
      <c r="R55" s="21">
        <v>1155.76</v>
      </c>
      <c r="S55" s="21">
        <v>1247.51</v>
      </c>
    </row>
    <row r="56" spans="1:19" x14ac:dyDescent="0.2">
      <c r="A56" s="9" t="s">
        <v>115</v>
      </c>
      <c r="B56" s="9" t="s">
        <v>116</v>
      </c>
      <c r="C56" s="9">
        <v>14</v>
      </c>
      <c r="D56" s="9">
        <v>0</v>
      </c>
      <c r="E56" s="9">
        <v>15</v>
      </c>
      <c r="F56" s="9">
        <f t="shared" si="0"/>
        <v>29</v>
      </c>
      <c r="H56" s="10">
        <v>83.25</v>
      </c>
      <c r="I56" s="10">
        <v>0</v>
      </c>
      <c r="J56" s="10">
        <v>69.069999999999993</v>
      </c>
      <c r="K56" s="10">
        <v>75.61</v>
      </c>
      <c r="M56" s="10">
        <v>132.75017000000003</v>
      </c>
      <c r="N56" s="10">
        <v>92.483670000000004</v>
      </c>
      <c r="O56" s="10">
        <v>111.06821000000001</v>
      </c>
      <c r="Q56" s="21">
        <v>1531.8</v>
      </c>
      <c r="R56" s="21">
        <v>1446.1</v>
      </c>
      <c r="S56" s="21">
        <v>1485.65</v>
      </c>
    </row>
    <row r="57" spans="1:19" x14ac:dyDescent="0.2">
      <c r="A57" s="9" t="s">
        <v>117</v>
      </c>
      <c r="B57" s="9" t="s">
        <v>118</v>
      </c>
      <c r="C57" s="9">
        <v>10</v>
      </c>
      <c r="D57" s="9">
        <v>0</v>
      </c>
      <c r="E57" s="9">
        <v>217</v>
      </c>
      <c r="F57" s="9">
        <f t="shared" si="0"/>
        <v>227</v>
      </c>
      <c r="H57" s="10">
        <v>122.1</v>
      </c>
      <c r="I57" s="10">
        <v>0</v>
      </c>
      <c r="J57" s="10">
        <v>94.89</v>
      </c>
      <c r="K57" s="10">
        <v>96.17</v>
      </c>
      <c r="M57" s="10">
        <v>262.14699999999999</v>
      </c>
      <c r="N57" s="10">
        <v>263.91470000000004</v>
      </c>
      <c r="O57" s="10">
        <v>263.81133</v>
      </c>
      <c r="Q57" s="21">
        <v>2259.98</v>
      </c>
      <c r="R57" s="21">
        <v>2523.44</v>
      </c>
      <c r="S57" s="21">
        <v>2508.0300000000002</v>
      </c>
    </row>
    <row r="58" spans="1:19" x14ac:dyDescent="0.2">
      <c r="A58" s="9" t="s">
        <v>119</v>
      </c>
      <c r="B58" s="9" t="s">
        <v>120</v>
      </c>
      <c r="C58" s="9">
        <v>9</v>
      </c>
      <c r="D58" s="9">
        <v>0</v>
      </c>
      <c r="E58" s="9">
        <v>60</v>
      </c>
      <c r="F58" s="9">
        <f t="shared" si="0"/>
        <v>69</v>
      </c>
      <c r="H58" s="10">
        <v>128.22</v>
      </c>
      <c r="I58" s="10">
        <v>0</v>
      </c>
      <c r="J58" s="10">
        <v>149.44999999999999</v>
      </c>
      <c r="K58" s="10">
        <v>146.16</v>
      </c>
      <c r="M58" s="10">
        <v>171.55555999999999</v>
      </c>
      <c r="N58" s="10">
        <v>227.05207999999999</v>
      </c>
      <c r="O58" s="10">
        <v>218.13300000000001</v>
      </c>
      <c r="Q58" s="21">
        <v>1444.65</v>
      </c>
      <c r="R58" s="21">
        <v>1651.48</v>
      </c>
      <c r="S58" s="21">
        <v>1618.24</v>
      </c>
    </row>
    <row r="59" spans="1:19" x14ac:dyDescent="0.2">
      <c r="A59" s="9" t="s">
        <v>121</v>
      </c>
      <c r="B59" s="9" t="s">
        <v>122</v>
      </c>
      <c r="C59" s="9">
        <v>39</v>
      </c>
      <c r="D59" s="9">
        <v>1</v>
      </c>
      <c r="E59" s="9">
        <v>26</v>
      </c>
      <c r="F59" s="9">
        <f t="shared" si="0"/>
        <v>66</v>
      </c>
      <c r="H59" s="10">
        <v>246</v>
      </c>
      <c r="I59" s="10">
        <v>0</v>
      </c>
      <c r="J59" s="10">
        <v>105.39</v>
      </c>
      <c r="K59" s="10">
        <v>112.79</v>
      </c>
      <c r="M59" s="10">
        <v>203.96</v>
      </c>
      <c r="N59" s="10">
        <v>89.305999999999997</v>
      </c>
      <c r="O59" s="10">
        <v>96.949600000000004</v>
      </c>
      <c r="Q59" s="21">
        <v>829.11</v>
      </c>
      <c r="R59" s="21">
        <v>878.35</v>
      </c>
      <c r="S59" s="21">
        <v>875.07</v>
      </c>
    </row>
    <row r="60" spans="1:19" x14ac:dyDescent="0.2">
      <c r="A60" s="9" t="s">
        <v>123</v>
      </c>
      <c r="B60" s="9" t="s">
        <v>124</v>
      </c>
      <c r="C60" s="9">
        <v>9</v>
      </c>
      <c r="D60" s="9">
        <v>0</v>
      </c>
      <c r="E60" s="9">
        <v>35</v>
      </c>
      <c r="F60" s="9">
        <f t="shared" si="0"/>
        <v>44</v>
      </c>
      <c r="H60" s="10">
        <v>143.16999999999999</v>
      </c>
      <c r="I60" s="10">
        <v>0</v>
      </c>
      <c r="J60" s="10">
        <v>107.19</v>
      </c>
      <c r="K60" s="10">
        <v>113.94</v>
      </c>
      <c r="M60" s="10">
        <v>79.304169999999999</v>
      </c>
      <c r="N60" s="10">
        <v>67.88982</v>
      </c>
      <c r="O60" s="10">
        <v>70.03000999999999</v>
      </c>
      <c r="Q60" s="21">
        <v>494.87</v>
      </c>
      <c r="R60" s="21">
        <v>633.85</v>
      </c>
      <c r="S60" s="21">
        <v>607.79</v>
      </c>
    </row>
    <row r="61" spans="1:19" x14ac:dyDescent="0.2">
      <c r="A61" s="9" t="s">
        <v>125</v>
      </c>
      <c r="B61" s="9" t="s">
        <v>126</v>
      </c>
      <c r="C61" s="9">
        <v>18</v>
      </c>
      <c r="D61" s="9">
        <v>0</v>
      </c>
      <c r="E61" s="9">
        <v>53</v>
      </c>
      <c r="F61" s="9">
        <f t="shared" si="0"/>
        <v>71</v>
      </c>
      <c r="H61" s="10">
        <v>151.59</v>
      </c>
      <c r="I61" s="10">
        <v>0</v>
      </c>
      <c r="J61" s="10">
        <v>121.51</v>
      </c>
      <c r="K61" s="10">
        <v>130.33000000000001</v>
      </c>
      <c r="M61" s="10">
        <v>204.32353000000001</v>
      </c>
      <c r="N61" s="10">
        <v>178.49526999999998</v>
      </c>
      <c r="O61" s="10">
        <v>186.06562</v>
      </c>
      <c r="Q61" s="21">
        <v>1521.32</v>
      </c>
      <c r="R61" s="21">
        <v>1646.73</v>
      </c>
      <c r="S61" s="21">
        <v>1609.97</v>
      </c>
    </row>
    <row r="62" spans="1:19" x14ac:dyDescent="0.2">
      <c r="A62" s="9" t="s">
        <v>127</v>
      </c>
      <c r="B62" s="9" t="s">
        <v>128</v>
      </c>
      <c r="C62" s="9">
        <v>5</v>
      </c>
      <c r="D62" s="9">
        <v>0</v>
      </c>
      <c r="E62" s="9">
        <v>242</v>
      </c>
      <c r="F62" s="9">
        <f t="shared" si="0"/>
        <v>247</v>
      </c>
      <c r="H62" s="10">
        <v>108.4</v>
      </c>
      <c r="I62" s="10">
        <v>0</v>
      </c>
      <c r="J62" s="10">
        <v>66.489999999999995</v>
      </c>
      <c r="K62" s="10">
        <v>67.44</v>
      </c>
      <c r="M62" s="10">
        <v>293.70359999999999</v>
      </c>
      <c r="N62" s="10">
        <v>132.21744000000001</v>
      </c>
      <c r="O62" s="10">
        <v>138.38103000000001</v>
      </c>
      <c r="Q62" s="21">
        <v>2703.1</v>
      </c>
      <c r="R62" s="21">
        <v>2076.2399999999998</v>
      </c>
      <c r="S62" s="21">
        <v>2100.17</v>
      </c>
    </row>
    <row r="63" spans="1:19" x14ac:dyDescent="0.2">
      <c r="A63" s="9" t="s">
        <v>129</v>
      </c>
      <c r="B63" s="9" t="s">
        <v>130</v>
      </c>
      <c r="C63" s="9">
        <v>0</v>
      </c>
      <c r="D63" s="9">
        <v>0</v>
      </c>
      <c r="E63" s="9">
        <v>170</v>
      </c>
      <c r="F63" s="9">
        <f t="shared" si="0"/>
        <v>170</v>
      </c>
      <c r="H63" s="10">
        <v>0</v>
      </c>
      <c r="I63" s="10">
        <v>0</v>
      </c>
      <c r="J63" s="10">
        <v>100</v>
      </c>
      <c r="K63" s="10">
        <v>100</v>
      </c>
      <c r="M63" s="10">
        <v>0</v>
      </c>
      <c r="N63" s="10">
        <v>161.11151999999998</v>
      </c>
      <c r="O63" s="10">
        <v>161.11151999999998</v>
      </c>
      <c r="Q63" s="21">
        <v>0</v>
      </c>
      <c r="R63" s="21">
        <v>1732.04</v>
      </c>
      <c r="S63" s="21">
        <v>1732.04</v>
      </c>
    </row>
    <row r="64" spans="1:19" x14ac:dyDescent="0.2">
      <c r="A64" s="9" t="s">
        <v>131</v>
      </c>
      <c r="B64" s="9" t="s">
        <v>132</v>
      </c>
      <c r="C64" s="9">
        <v>18</v>
      </c>
      <c r="D64" s="9">
        <v>2</v>
      </c>
      <c r="E64" s="9">
        <v>147</v>
      </c>
      <c r="F64" s="9">
        <f t="shared" si="0"/>
        <v>167</v>
      </c>
      <c r="H64" s="10">
        <v>119.33</v>
      </c>
      <c r="I64" s="10">
        <v>71.5</v>
      </c>
      <c r="J64" s="10">
        <v>87.39</v>
      </c>
      <c r="K64" s="10">
        <v>90.7</v>
      </c>
      <c r="M64" s="10">
        <v>123.1485</v>
      </c>
      <c r="N64" s="10">
        <v>117.6404</v>
      </c>
      <c r="O64" s="10">
        <v>118.29699000000001</v>
      </c>
      <c r="Q64" s="21">
        <v>1239.6500000000001</v>
      </c>
      <c r="R64" s="21">
        <v>1466.88</v>
      </c>
      <c r="S64" s="21">
        <v>1439.79</v>
      </c>
    </row>
    <row r="65" spans="1:19" x14ac:dyDescent="0.2">
      <c r="A65" s="9" t="s">
        <v>133</v>
      </c>
      <c r="B65" s="9" t="s">
        <v>134</v>
      </c>
      <c r="C65" s="9">
        <v>17</v>
      </c>
      <c r="D65" s="9">
        <v>0</v>
      </c>
      <c r="E65" s="9">
        <v>42</v>
      </c>
      <c r="F65" s="9">
        <f t="shared" si="0"/>
        <v>59</v>
      </c>
      <c r="H65" s="10">
        <v>72.290000000000006</v>
      </c>
      <c r="I65" s="10">
        <v>0</v>
      </c>
      <c r="J65" s="10">
        <v>81.47</v>
      </c>
      <c r="K65" s="10">
        <v>78.63</v>
      </c>
      <c r="M65" s="10">
        <v>48.149540000000002</v>
      </c>
      <c r="N65" s="10">
        <v>62.851690000000005</v>
      </c>
      <c r="O65" s="10">
        <v>58.223239999999997</v>
      </c>
      <c r="Q65" s="21">
        <v>649.9</v>
      </c>
      <c r="R65" s="21">
        <v>804.32</v>
      </c>
      <c r="S65" s="21">
        <v>755.71</v>
      </c>
    </row>
    <row r="66" spans="1:19" x14ac:dyDescent="0.2">
      <c r="A66" s="9" t="s">
        <v>135</v>
      </c>
      <c r="B66" s="9" t="s">
        <v>136</v>
      </c>
      <c r="C66" s="9">
        <v>9</v>
      </c>
      <c r="D66" s="9">
        <v>0</v>
      </c>
      <c r="E66" s="9">
        <v>30</v>
      </c>
      <c r="F66" s="9">
        <f t="shared" si="0"/>
        <v>39</v>
      </c>
      <c r="H66" s="10">
        <v>113.14</v>
      </c>
      <c r="I66" s="10">
        <v>0</v>
      </c>
      <c r="J66" s="10">
        <v>155.33000000000001</v>
      </c>
      <c r="K66" s="10">
        <v>146.63999999999999</v>
      </c>
      <c r="M66" s="10">
        <v>171.6</v>
      </c>
      <c r="N66" s="10">
        <v>168.02771999999999</v>
      </c>
      <c r="O66" s="10">
        <v>168.76319000000001</v>
      </c>
      <c r="Q66" s="21">
        <v>1643.61</v>
      </c>
      <c r="R66" s="21">
        <v>1385.02</v>
      </c>
      <c r="S66" s="21">
        <v>1438.26</v>
      </c>
    </row>
    <row r="67" spans="1:19" x14ac:dyDescent="0.2">
      <c r="A67" s="9" t="s">
        <v>137</v>
      </c>
      <c r="B67" s="9" t="s">
        <v>138</v>
      </c>
      <c r="C67" s="9">
        <v>9</v>
      </c>
      <c r="D67" s="9">
        <v>0</v>
      </c>
      <c r="E67" s="9">
        <v>185</v>
      </c>
      <c r="F67" s="9">
        <f t="shared" si="0"/>
        <v>194</v>
      </c>
      <c r="H67" s="10">
        <v>96.11</v>
      </c>
      <c r="I67" s="10">
        <v>0</v>
      </c>
      <c r="J67" s="10">
        <v>91.92</v>
      </c>
      <c r="K67" s="10">
        <v>92.12</v>
      </c>
      <c r="M67" s="10">
        <v>163.33332999999999</v>
      </c>
      <c r="N67" s="10">
        <v>173.90762000000001</v>
      </c>
      <c r="O67" s="10">
        <v>173.39320000000001</v>
      </c>
      <c r="Q67" s="21">
        <v>1739.56</v>
      </c>
      <c r="R67" s="21">
        <v>1954.21</v>
      </c>
      <c r="S67" s="21">
        <v>1943.77</v>
      </c>
    </row>
    <row r="68" spans="1:19" x14ac:dyDescent="0.2">
      <c r="A68" s="9" t="s">
        <v>139</v>
      </c>
      <c r="B68" s="9" t="s">
        <v>140</v>
      </c>
      <c r="C68" s="9">
        <v>0</v>
      </c>
      <c r="D68" s="9">
        <v>0</v>
      </c>
      <c r="E68" s="9">
        <v>139</v>
      </c>
      <c r="F68" s="9">
        <f t="shared" si="0"/>
        <v>139</v>
      </c>
      <c r="H68" s="10">
        <v>0</v>
      </c>
      <c r="I68" s="10">
        <v>0</v>
      </c>
      <c r="J68" s="10">
        <v>104.9</v>
      </c>
      <c r="K68" s="10">
        <v>104.9</v>
      </c>
      <c r="M68" s="10">
        <v>0</v>
      </c>
      <c r="N68" s="10">
        <v>136.84030999999999</v>
      </c>
      <c r="O68" s="10">
        <v>136.84030999999999</v>
      </c>
      <c r="Q68" s="21">
        <v>0</v>
      </c>
      <c r="R68" s="21">
        <v>1449.58</v>
      </c>
      <c r="S68" s="21">
        <v>1449.58</v>
      </c>
    </row>
    <row r="69" spans="1:19" x14ac:dyDescent="0.2">
      <c r="A69" s="9" t="s">
        <v>141</v>
      </c>
      <c r="B69" s="9" t="s">
        <v>142</v>
      </c>
      <c r="C69" s="9">
        <v>58</v>
      </c>
      <c r="D69" s="9">
        <v>0</v>
      </c>
      <c r="E69" s="9">
        <v>154</v>
      </c>
      <c r="F69" s="9">
        <f t="shared" si="0"/>
        <v>212</v>
      </c>
      <c r="H69" s="10">
        <v>83.93</v>
      </c>
      <c r="I69" s="10">
        <v>0</v>
      </c>
      <c r="J69" s="10">
        <v>81.96</v>
      </c>
      <c r="K69" s="10">
        <v>82.52</v>
      </c>
      <c r="M69" s="10">
        <v>278.54311000000001</v>
      </c>
      <c r="N69" s="10">
        <v>249.48943</v>
      </c>
      <c r="O69" s="10">
        <v>258.08057000000002</v>
      </c>
      <c r="Q69" s="21">
        <v>3279.83</v>
      </c>
      <c r="R69" s="21">
        <v>2658.23</v>
      </c>
      <c r="S69" s="21">
        <v>2842.04</v>
      </c>
    </row>
    <row r="70" spans="1:19" x14ac:dyDescent="0.2">
      <c r="A70" s="9" t="s">
        <v>143</v>
      </c>
      <c r="B70" s="9" t="s">
        <v>144</v>
      </c>
      <c r="C70" s="9">
        <v>44</v>
      </c>
      <c r="D70" s="9">
        <v>0</v>
      </c>
      <c r="E70" s="9">
        <v>198</v>
      </c>
      <c r="F70" s="9">
        <f t="shared" ref="F70:F133" si="1">SUM(C70:E70)</f>
        <v>242</v>
      </c>
      <c r="H70" s="10">
        <v>67.98</v>
      </c>
      <c r="I70" s="10">
        <v>0</v>
      </c>
      <c r="J70" s="10">
        <v>99.76</v>
      </c>
      <c r="K70" s="10">
        <v>93.87</v>
      </c>
      <c r="M70" s="10">
        <v>87.546970000000002</v>
      </c>
      <c r="N70" s="10">
        <v>95.974649999999997</v>
      </c>
      <c r="O70" s="10">
        <v>94.361699999999999</v>
      </c>
      <c r="Q70" s="21">
        <v>1314.73</v>
      </c>
      <c r="R70" s="21">
        <v>987.05</v>
      </c>
      <c r="S70" s="21">
        <v>1049.76</v>
      </c>
    </row>
    <row r="71" spans="1:19" x14ac:dyDescent="0.2">
      <c r="A71" s="9" t="s">
        <v>145</v>
      </c>
      <c r="B71" s="9" t="s">
        <v>146</v>
      </c>
      <c r="C71" s="9">
        <v>13</v>
      </c>
      <c r="D71" s="9">
        <v>0</v>
      </c>
      <c r="E71" s="9">
        <v>80</v>
      </c>
      <c r="F71" s="9">
        <f t="shared" si="1"/>
        <v>93</v>
      </c>
      <c r="H71" s="10">
        <v>79.3</v>
      </c>
      <c r="I71" s="10">
        <v>0</v>
      </c>
      <c r="J71" s="10">
        <v>88.63</v>
      </c>
      <c r="K71" s="10">
        <v>87.43</v>
      </c>
      <c r="M71" s="10">
        <v>138.32810000000001</v>
      </c>
      <c r="N71" s="10">
        <v>154.43732999999997</v>
      </c>
      <c r="O71" s="10">
        <v>152.26041000000001</v>
      </c>
      <c r="Q71" s="21">
        <v>1745.56</v>
      </c>
      <c r="R71" s="21">
        <v>1755.15</v>
      </c>
      <c r="S71" s="21">
        <v>1753.85</v>
      </c>
    </row>
    <row r="72" spans="1:19" x14ac:dyDescent="0.2">
      <c r="A72" s="9" t="s">
        <v>147</v>
      </c>
      <c r="B72" s="9" t="s">
        <v>148</v>
      </c>
      <c r="C72" s="9">
        <v>58</v>
      </c>
      <c r="D72" s="9">
        <v>0</v>
      </c>
      <c r="E72" s="9">
        <v>56</v>
      </c>
      <c r="F72" s="9">
        <f t="shared" si="1"/>
        <v>114</v>
      </c>
      <c r="H72" s="10">
        <v>104.86</v>
      </c>
      <c r="I72" s="10">
        <v>0</v>
      </c>
      <c r="J72" s="10">
        <v>110.34</v>
      </c>
      <c r="K72" s="10">
        <v>107.58</v>
      </c>
      <c r="M72" s="10">
        <v>193.05472</v>
      </c>
      <c r="N72" s="10">
        <v>166.14582999999999</v>
      </c>
      <c r="O72" s="10">
        <v>179.71933999999999</v>
      </c>
      <c r="Q72" s="21">
        <v>2009.56</v>
      </c>
      <c r="R72" s="21">
        <v>1556.17</v>
      </c>
      <c r="S72" s="21">
        <v>1784.87</v>
      </c>
    </row>
    <row r="73" spans="1:19" x14ac:dyDescent="0.2">
      <c r="A73" s="9" t="s">
        <v>149</v>
      </c>
      <c r="B73" s="9" t="s">
        <v>150</v>
      </c>
      <c r="C73" s="9">
        <v>36</v>
      </c>
      <c r="D73" s="9">
        <v>20</v>
      </c>
      <c r="E73" s="9">
        <v>207</v>
      </c>
      <c r="F73" s="9">
        <f t="shared" si="1"/>
        <v>263</v>
      </c>
      <c r="H73" s="10">
        <v>82.21</v>
      </c>
      <c r="I73" s="10">
        <v>79.75</v>
      </c>
      <c r="J73" s="10">
        <v>85.44</v>
      </c>
      <c r="K73" s="10">
        <v>84.52</v>
      </c>
      <c r="M73" s="10">
        <v>219.53097</v>
      </c>
      <c r="N73" s="10">
        <v>250.95260000000002</v>
      </c>
      <c r="O73" s="10">
        <v>245.9836</v>
      </c>
      <c r="Q73" s="21">
        <v>2650.37</v>
      </c>
      <c r="R73" s="21">
        <v>2744.96</v>
      </c>
      <c r="S73" s="21">
        <v>2730</v>
      </c>
    </row>
    <row r="74" spans="1:19" x14ac:dyDescent="0.2">
      <c r="A74" s="9" t="s">
        <v>151</v>
      </c>
      <c r="B74" s="9" t="s">
        <v>152</v>
      </c>
      <c r="C74" s="9">
        <v>0</v>
      </c>
      <c r="D74" s="9">
        <v>0</v>
      </c>
      <c r="E74" s="9">
        <v>49</v>
      </c>
      <c r="F74" s="9">
        <f t="shared" si="1"/>
        <v>49</v>
      </c>
      <c r="H74" s="10">
        <v>0</v>
      </c>
      <c r="I74" s="10">
        <v>0</v>
      </c>
      <c r="J74" s="10">
        <v>111.51</v>
      </c>
      <c r="K74" s="10">
        <v>111.51</v>
      </c>
      <c r="M74" s="10">
        <v>0</v>
      </c>
      <c r="N74" s="10">
        <v>142.1405</v>
      </c>
      <c r="O74" s="10">
        <v>142.1405</v>
      </c>
      <c r="Q74" s="21">
        <v>0</v>
      </c>
      <c r="R74" s="21">
        <v>1340.92</v>
      </c>
      <c r="S74" s="21">
        <v>1340.92</v>
      </c>
    </row>
    <row r="75" spans="1:19" x14ac:dyDescent="0.2">
      <c r="A75" s="9" t="s">
        <v>153</v>
      </c>
      <c r="B75" s="9" t="s">
        <v>154</v>
      </c>
      <c r="C75" s="9">
        <v>150</v>
      </c>
      <c r="D75" s="9">
        <v>19</v>
      </c>
      <c r="E75" s="9">
        <v>414</v>
      </c>
      <c r="F75" s="9">
        <f t="shared" si="1"/>
        <v>583</v>
      </c>
      <c r="H75" s="10">
        <v>86.36</v>
      </c>
      <c r="I75" s="10">
        <v>79.31</v>
      </c>
      <c r="J75" s="10">
        <v>86.38</v>
      </c>
      <c r="K75" s="10">
        <v>86.16</v>
      </c>
      <c r="M75" s="10">
        <v>167.46876999999998</v>
      </c>
      <c r="N75" s="10">
        <v>149.66019</v>
      </c>
      <c r="O75" s="10">
        <v>154.81110000000001</v>
      </c>
      <c r="Q75" s="21">
        <v>1977.55</v>
      </c>
      <c r="R75" s="21">
        <v>1705.02</v>
      </c>
      <c r="S75" s="21">
        <v>1783.85</v>
      </c>
    </row>
    <row r="76" spans="1:19" x14ac:dyDescent="0.2">
      <c r="A76" s="9" t="s">
        <v>155</v>
      </c>
      <c r="B76" s="9" t="s">
        <v>156</v>
      </c>
      <c r="C76" s="9">
        <v>20</v>
      </c>
      <c r="D76" s="9">
        <v>4</v>
      </c>
      <c r="E76" s="9">
        <v>314</v>
      </c>
      <c r="F76" s="9">
        <f t="shared" si="1"/>
        <v>338</v>
      </c>
      <c r="H76" s="10">
        <v>106.56</v>
      </c>
      <c r="I76" s="10">
        <v>83</v>
      </c>
      <c r="J76" s="10">
        <v>86.32</v>
      </c>
      <c r="K76" s="10">
        <v>87.43</v>
      </c>
      <c r="M76" s="10">
        <v>223.63398999999998</v>
      </c>
      <c r="N76" s="10">
        <v>155.25433999999998</v>
      </c>
      <c r="O76" s="10">
        <v>159.26194000000001</v>
      </c>
      <c r="Q76" s="21">
        <v>2033.76</v>
      </c>
      <c r="R76" s="21">
        <v>1797.87</v>
      </c>
      <c r="S76" s="21">
        <v>1811.7</v>
      </c>
    </row>
    <row r="77" spans="1:19" x14ac:dyDescent="0.2">
      <c r="A77" s="9" t="s">
        <v>157</v>
      </c>
      <c r="B77" s="9" t="s">
        <v>158</v>
      </c>
      <c r="C77" s="9">
        <v>1</v>
      </c>
      <c r="D77" s="9">
        <v>0</v>
      </c>
      <c r="E77" s="9">
        <v>16</v>
      </c>
      <c r="F77" s="9">
        <f t="shared" si="1"/>
        <v>17</v>
      </c>
      <c r="H77" s="10">
        <v>104</v>
      </c>
      <c r="I77" s="10">
        <v>0</v>
      </c>
      <c r="J77" s="10">
        <v>113.4</v>
      </c>
      <c r="K77" s="10">
        <v>112.81</v>
      </c>
      <c r="M77" s="10">
        <v>0</v>
      </c>
      <c r="N77" s="10">
        <v>81.836579999999998</v>
      </c>
      <c r="O77" s="10">
        <v>81.909289999999999</v>
      </c>
      <c r="Q77" s="21">
        <v>0</v>
      </c>
      <c r="R77" s="21">
        <v>763.97</v>
      </c>
      <c r="S77" s="21">
        <v>766.1</v>
      </c>
    </row>
    <row r="78" spans="1:19" x14ac:dyDescent="0.2">
      <c r="A78" s="9" t="s">
        <v>159</v>
      </c>
      <c r="B78" s="9" t="s">
        <v>160</v>
      </c>
      <c r="C78" s="9">
        <v>186</v>
      </c>
      <c r="D78" s="9">
        <v>139</v>
      </c>
      <c r="E78" s="9">
        <v>1217</v>
      </c>
      <c r="F78" s="9">
        <f t="shared" si="1"/>
        <v>1542</v>
      </c>
      <c r="H78" s="10">
        <v>76.03</v>
      </c>
      <c r="I78" s="10">
        <v>79.790000000000006</v>
      </c>
      <c r="J78" s="10">
        <v>62.98</v>
      </c>
      <c r="K78" s="10">
        <v>66.319999999999993</v>
      </c>
      <c r="M78" s="10">
        <v>194.81456</v>
      </c>
      <c r="N78" s="10">
        <v>132.54895999999999</v>
      </c>
      <c r="O78" s="10">
        <v>142.92655999999999</v>
      </c>
      <c r="Q78" s="21">
        <v>2564.5300000000002</v>
      </c>
      <c r="R78" s="21">
        <v>2118.83</v>
      </c>
      <c r="S78" s="21">
        <v>2193.11</v>
      </c>
    </row>
    <row r="79" spans="1:19" x14ac:dyDescent="0.2">
      <c r="A79" s="9" t="s">
        <v>161</v>
      </c>
      <c r="B79" s="9" t="s">
        <v>162</v>
      </c>
      <c r="C79" s="9">
        <v>21</v>
      </c>
      <c r="D79" s="9">
        <v>1</v>
      </c>
      <c r="E79" s="9">
        <v>159</v>
      </c>
      <c r="F79" s="9">
        <f t="shared" si="1"/>
        <v>181</v>
      </c>
      <c r="H79" s="10">
        <v>110.42</v>
      </c>
      <c r="I79" s="10">
        <v>90</v>
      </c>
      <c r="J79" s="10">
        <v>92.89</v>
      </c>
      <c r="K79" s="10">
        <v>94.95</v>
      </c>
      <c r="M79" s="10">
        <v>98.765789999999996</v>
      </c>
      <c r="N79" s="10">
        <v>94.48169</v>
      </c>
      <c r="O79" s="10">
        <v>95.043050000000008</v>
      </c>
      <c r="Q79" s="21">
        <v>1007.91</v>
      </c>
      <c r="R79" s="21">
        <v>1007.62</v>
      </c>
      <c r="S79" s="21">
        <v>1007.66</v>
      </c>
    </row>
    <row r="80" spans="1:19" x14ac:dyDescent="0.2">
      <c r="A80" s="9" t="s">
        <v>163</v>
      </c>
      <c r="B80" s="9" t="s">
        <v>164</v>
      </c>
      <c r="C80" s="9">
        <v>9</v>
      </c>
      <c r="D80" s="9">
        <v>1</v>
      </c>
      <c r="E80" s="9">
        <v>47</v>
      </c>
      <c r="F80" s="9">
        <f t="shared" si="1"/>
        <v>57</v>
      </c>
      <c r="H80" s="10">
        <v>75.430000000000007</v>
      </c>
      <c r="I80" s="10">
        <v>65</v>
      </c>
      <c r="J80" s="10">
        <v>77.38</v>
      </c>
      <c r="K80" s="10">
        <v>76.83</v>
      </c>
      <c r="M80" s="10">
        <v>81.857140000000001</v>
      </c>
      <c r="N80" s="10">
        <v>133.18495000000001</v>
      </c>
      <c r="O80" s="10">
        <v>123.47427999999999</v>
      </c>
      <c r="Q80" s="21">
        <v>1214.4000000000001</v>
      </c>
      <c r="R80" s="21">
        <v>1683.21</v>
      </c>
      <c r="S80" s="21">
        <v>1594.52</v>
      </c>
    </row>
    <row r="81" spans="1:19" x14ac:dyDescent="0.2">
      <c r="A81" s="9" t="s">
        <v>165</v>
      </c>
      <c r="B81" s="9" t="s">
        <v>166</v>
      </c>
      <c r="C81" s="9">
        <v>5</v>
      </c>
      <c r="D81" s="9">
        <v>0</v>
      </c>
      <c r="E81" s="9">
        <v>24</v>
      </c>
      <c r="F81" s="9">
        <f t="shared" si="1"/>
        <v>29</v>
      </c>
      <c r="H81" s="10">
        <v>140.80000000000001</v>
      </c>
      <c r="I81" s="10">
        <v>0</v>
      </c>
      <c r="J81" s="10">
        <v>107</v>
      </c>
      <c r="K81" s="10">
        <v>113.26</v>
      </c>
      <c r="M81" s="10">
        <v>133.13939999999999</v>
      </c>
      <c r="N81" s="10">
        <v>90.889679999999998</v>
      </c>
      <c r="O81" s="10">
        <v>99.339619999999996</v>
      </c>
      <c r="Q81" s="21">
        <v>1064.68</v>
      </c>
      <c r="R81" s="21">
        <v>879.94</v>
      </c>
      <c r="S81" s="21">
        <v>916.89</v>
      </c>
    </row>
    <row r="82" spans="1:19" x14ac:dyDescent="0.2">
      <c r="A82" s="9" t="s">
        <v>167</v>
      </c>
      <c r="B82" s="9" t="s">
        <v>168</v>
      </c>
      <c r="C82" s="9">
        <v>163</v>
      </c>
      <c r="D82" s="9">
        <v>65</v>
      </c>
      <c r="E82" s="9">
        <v>555</v>
      </c>
      <c r="F82" s="9">
        <f t="shared" si="1"/>
        <v>783</v>
      </c>
      <c r="H82" s="10">
        <v>95.07</v>
      </c>
      <c r="I82" s="10">
        <v>87.86</v>
      </c>
      <c r="J82" s="10">
        <v>88.2</v>
      </c>
      <c r="K82" s="10">
        <v>89.7</v>
      </c>
      <c r="M82" s="10">
        <v>101.01511000000001</v>
      </c>
      <c r="N82" s="10">
        <v>83.792249999999996</v>
      </c>
      <c r="O82" s="10">
        <v>88.920829999999995</v>
      </c>
      <c r="Q82" s="21">
        <v>936.94</v>
      </c>
      <c r="R82" s="21">
        <v>893.23</v>
      </c>
      <c r="S82" s="21">
        <v>906.25</v>
      </c>
    </row>
    <row r="83" spans="1:19" x14ac:dyDescent="0.2">
      <c r="A83" s="9" t="s">
        <v>169</v>
      </c>
      <c r="B83" s="9" t="s">
        <v>170</v>
      </c>
      <c r="C83" s="9">
        <v>14</v>
      </c>
      <c r="D83" s="9">
        <v>0</v>
      </c>
      <c r="E83" s="9">
        <v>62</v>
      </c>
      <c r="F83" s="9">
        <f t="shared" si="1"/>
        <v>76</v>
      </c>
      <c r="H83" s="10">
        <v>158.15</v>
      </c>
      <c r="I83" s="10">
        <v>0</v>
      </c>
      <c r="J83" s="10">
        <v>183.6</v>
      </c>
      <c r="K83" s="10">
        <v>179.07</v>
      </c>
      <c r="M83" s="10">
        <v>190.13054</v>
      </c>
      <c r="N83" s="10">
        <v>200.82093</v>
      </c>
      <c r="O83" s="10">
        <v>198.91716</v>
      </c>
      <c r="Q83" s="21">
        <v>1321.88</v>
      </c>
      <c r="R83" s="21">
        <v>1262.28</v>
      </c>
      <c r="S83" s="21">
        <v>1272.8900000000001</v>
      </c>
    </row>
    <row r="84" spans="1:19" x14ac:dyDescent="0.2">
      <c r="A84" s="9" t="s">
        <v>171</v>
      </c>
      <c r="B84" s="9" t="s">
        <v>172</v>
      </c>
      <c r="C84" s="9">
        <v>4</v>
      </c>
      <c r="D84" s="9">
        <v>0</v>
      </c>
      <c r="E84" s="9">
        <v>22</v>
      </c>
      <c r="F84" s="9">
        <f t="shared" si="1"/>
        <v>26</v>
      </c>
      <c r="H84" s="10">
        <v>207.25</v>
      </c>
      <c r="I84" s="10">
        <v>0</v>
      </c>
      <c r="J84" s="10">
        <v>149.76</v>
      </c>
      <c r="K84" s="10">
        <v>158.96</v>
      </c>
      <c r="M84" s="10">
        <v>210</v>
      </c>
      <c r="N84" s="10">
        <v>221.35719</v>
      </c>
      <c r="O84" s="10">
        <v>219.54004</v>
      </c>
      <c r="Q84" s="21">
        <v>1057.74</v>
      </c>
      <c r="R84" s="21">
        <v>1679.47</v>
      </c>
      <c r="S84" s="21">
        <v>1579.99</v>
      </c>
    </row>
    <row r="85" spans="1:19" x14ac:dyDescent="0.2">
      <c r="A85" s="9" t="s">
        <v>173</v>
      </c>
      <c r="B85" s="9" t="s">
        <v>174</v>
      </c>
      <c r="C85" s="9">
        <v>1</v>
      </c>
      <c r="D85" s="9">
        <v>0</v>
      </c>
      <c r="E85" s="9">
        <v>40</v>
      </c>
      <c r="F85" s="9">
        <f t="shared" si="1"/>
        <v>41</v>
      </c>
      <c r="H85" s="10">
        <v>100</v>
      </c>
      <c r="I85" s="10">
        <v>0</v>
      </c>
      <c r="J85" s="10">
        <v>124.38</v>
      </c>
      <c r="K85" s="10">
        <v>123.74</v>
      </c>
      <c r="M85" s="10">
        <v>0</v>
      </c>
      <c r="N85" s="10">
        <v>185.11932000000002</v>
      </c>
      <c r="O85" s="10">
        <v>184.91881000000001</v>
      </c>
      <c r="Q85" s="21">
        <v>0</v>
      </c>
      <c r="R85" s="21">
        <v>1650.41</v>
      </c>
      <c r="S85" s="21">
        <v>1653.69</v>
      </c>
    </row>
    <row r="86" spans="1:19" x14ac:dyDescent="0.2">
      <c r="A86" s="9" t="s">
        <v>175</v>
      </c>
      <c r="B86" s="9" t="s">
        <v>176</v>
      </c>
      <c r="C86" s="9">
        <v>6</v>
      </c>
      <c r="D86" s="9">
        <v>0</v>
      </c>
      <c r="E86" s="9">
        <v>256</v>
      </c>
      <c r="F86" s="9">
        <f t="shared" si="1"/>
        <v>262</v>
      </c>
      <c r="H86" s="10">
        <v>127.5</v>
      </c>
      <c r="I86" s="10">
        <v>0</v>
      </c>
      <c r="J86" s="10">
        <v>81.64</v>
      </c>
      <c r="K86" s="10">
        <v>82.42</v>
      </c>
      <c r="M86" s="10">
        <v>200.75</v>
      </c>
      <c r="N86" s="10">
        <v>143.71582000000001</v>
      </c>
      <c r="O86" s="10">
        <v>144.69495000000001</v>
      </c>
      <c r="Q86" s="21">
        <v>1373.11</v>
      </c>
      <c r="R86" s="21">
        <v>1833.4</v>
      </c>
      <c r="S86" s="21">
        <v>1825.5</v>
      </c>
    </row>
    <row r="87" spans="1:19" x14ac:dyDescent="0.2">
      <c r="A87" s="9" t="s">
        <v>177</v>
      </c>
      <c r="B87" s="9" t="s">
        <v>178</v>
      </c>
      <c r="C87" s="9">
        <v>6</v>
      </c>
      <c r="D87" s="9">
        <v>0</v>
      </c>
      <c r="E87" s="9">
        <v>31</v>
      </c>
      <c r="F87" s="9">
        <f t="shared" si="1"/>
        <v>37</v>
      </c>
      <c r="H87" s="10">
        <v>83.8</v>
      </c>
      <c r="I87" s="10">
        <v>0</v>
      </c>
      <c r="J87" s="10">
        <v>115.18</v>
      </c>
      <c r="K87" s="10">
        <v>110.43</v>
      </c>
      <c r="M87" s="10">
        <v>96.1</v>
      </c>
      <c r="N87" s="10">
        <v>102.60478999999999</v>
      </c>
      <c r="O87" s="10">
        <v>101.61922</v>
      </c>
      <c r="Q87" s="21">
        <v>1175.79</v>
      </c>
      <c r="R87" s="21">
        <v>1029.68</v>
      </c>
      <c r="S87" s="21">
        <v>1051.82</v>
      </c>
    </row>
    <row r="88" spans="1:19" x14ac:dyDescent="0.2">
      <c r="A88" s="9" t="s">
        <v>179</v>
      </c>
      <c r="B88" s="9" t="s">
        <v>180</v>
      </c>
      <c r="C88" s="9">
        <v>28</v>
      </c>
      <c r="D88" s="9">
        <v>0</v>
      </c>
      <c r="E88" s="9">
        <v>96</v>
      </c>
      <c r="F88" s="9">
        <f t="shared" si="1"/>
        <v>124</v>
      </c>
      <c r="H88" s="10">
        <v>95.3</v>
      </c>
      <c r="I88" s="10">
        <v>0</v>
      </c>
      <c r="J88" s="10">
        <v>79.849999999999994</v>
      </c>
      <c r="K88" s="10">
        <v>82.86</v>
      </c>
      <c r="M88" s="10">
        <v>135.22387000000001</v>
      </c>
      <c r="N88" s="10">
        <v>113.90531</v>
      </c>
      <c r="O88" s="10">
        <v>118.13227000000001</v>
      </c>
      <c r="Q88" s="21">
        <v>1580.6</v>
      </c>
      <c r="R88" s="21">
        <v>1465.86</v>
      </c>
      <c r="S88" s="21">
        <v>1488.61</v>
      </c>
    </row>
    <row r="89" spans="1:19" x14ac:dyDescent="0.2">
      <c r="A89" s="9" t="s">
        <v>181</v>
      </c>
      <c r="B89" s="9" t="s">
        <v>182</v>
      </c>
      <c r="C89" s="9">
        <v>4</v>
      </c>
      <c r="D89" s="9">
        <v>0</v>
      </c>
      <c r="E89" s="9">
        <v>75</v>
      </c>
      <c r="F89" s="9">
        <f t="shared" si="1"/>
        <v>79</v>
      </c>
      <c r="H89" s="10">
        <v>88.25</v>
      </c>
      <c r="I89" s="10">
        <v>0</v>
      </c>
      <c r="J89" s="10">
        <v>111.38</v>
      </c>
      <c r="K89" s="10">
        <v>110.06</v>
      </c>
      <c r="M89" s="10">
        <v>74.670500000000004</v>
      </c>
      <c r="N89" s="10">
        <v>88.403679999999994</v>
      </c>
      <c r="O89" s="10">
        <v>87.618929999999992</v>
      </c>
      <c r="Q89" s="21">
        <v>896.31</v>
      </c>
      <c r="R89" s="21">
        <v>822.47</v>
      </c>
      <c r="S89" s="21">
        <v>826.69</v>
      </c>
    </row>
    <row r="90" spans="1:19" x14ac:dyDescent="0.2">
      <c r="A90" s="9" t="s">
        <v>183</v>
      </c>
      <c r="B90" s="9" t="s">
        <v>184</v>
      </c>
      <c r="C90" s="9">
        <v>120</v>
      </c>
      <c r="D90" s="9">
        <v>4</v>
      </c>
      <c r="E90" s="9">
        <v>305</v>
      </c>
      <c r="F90" s="9">
        <f t="shared" si="1"/>
        <v>429</v>
      </c>
      <c r="H90" s="10">
        <v>85.03</v>
      </c>
      <c r="I90" s="10">
        <v>82</v>
      </c>
      <c r="J90" s="10">
        <v>93.75</v>
      </c>
      <c r="K90" s="10">
        <v>91.29</v>
      </c>
      <c r="M90" s="10">
        <v>79.268679999999989</v>
      </c>
      <c r="N90" s="10">
        <v>87.384699999999995</v>
      </c>
      <c r="O90" s="10">
        <v>85.173190000000005</v>
      </c>
      <c r="Q90" s="21">
        <v>1002.99</v>
      </c>
      <c r="R90" s="21">
        <v>923.77</v>
      </c>
      <c r="S90" s="21">
        <v>945.36</v>
      </c>
    </row>
    <row r="91" spans="1:19" x14ac:dyDescent="0.2">
      <c r="A91" s="9" t="s">
        <v>185</v>
      </c>
      <c r="B91" s="9" t="s">
        <v>186</v>
      </c>
      <c r="C91" s="9">
        <v>0</v>
      </c>
      <c r="D91" s="9">
        <v>0</v>
      </c>
      <c r="E91" s="9">
        <v>147</v>
      </c>
      <c r="F91" s="9">
        <f t="shared" si="1"/>
        <v>147</v>
      </c>
      <c r="H91" s="10">
        <v>0</v>
      </c>
      <c r="I91" s="10">
        <v>0</v>
      </c>
      <c r="J91" s="10">
        <v>91.72</v>
      </c>
      <c r="K91" s="10">
        <v>91.72</v>
      </c>
      <c r="M91" s="10">
        <v>0</v>
      </c>
      <c r="N91" s="10">
        <v>140.10387</v>
      </c>
      <c r="O91" s="10">
        <v>140.10387</v>
      </c>
      <c r="Q91" s="21">
        <v>0</v>
      </c>
      <c r="R91" s="21">
        <v>1574.73</v>
      </c>
      <c r="S91" s="21">
        <v>1574.73</v>
      </c>
    </row>
    <row r="92" spans="1:19" x14ac:dyDescent="0.2">
      <c r="A92" s="9" t="s">
        <v>187</v>
      </c>
      <c r="B92" s="9" t="s">
        <v>188</v>
      </c>
      <c r="C92" s="9">
        <v>12</v>
      </c>
      <c r="D92" s="9">
        <v>0</v>
      </c>
      <c r="E92" s="9">
        <v>80</v>
      </c>
      <c r="F92" s="9">
        <f t="shared" si="1"/>
        <v>92</v>
      </c>
      <c r="H92" s="10">
        <v>73.75</v>
      </c>
      <c r="I92" s="10">
        <v>0</v>
      </c>
      <c r="J92" s="10">
        <v>101.09</v>
      </c>
      <c r="K92" s="10">
        <v>97.48</v>
      </c>
      <c r="M92" s="10">
        <v>222.75282000000001</v>
      </c>
      <c r="N92" s="10">
        <v>247.70570000000001</v>
      </c>
      <c r="O92" s="10">
        <v>244.41521</v>
      </c>
      <c r="Q92" s="21">
        <v>3245.53</v>
      </c>
      <c r="R92" s="21">
        <v>2533.0300000000002</v>
      </c>
      <c r="S92" s="21">
        <v>2626.99</v>
      </c>
    </row>
    <row r="93" spans="1:19" x14ac:dyDescent="0.2">
      <c r="A93" s="9" t="s">
        <v>189</v>
      </c>
      <c r="B93" s="9" t="s">
        <v>190</v>
      </c>
      <c r="C93" s="9">
        <v>7</v>
      </c>
      <c r="D93" s="9">
        <v>0</v>
      </c>
      <c r="E93" s="9">
        <v>30</v>
      </c>
      <c r="F93" s="9">
        <f t="shared" si="1"/>
        <v>37</v>
      </c>
      <c r="H93" s="10">
        <v>107.67</v>
      </c>
      <c r="I93" s="10">
        <v>0</v>
      </c>
      <c r="J93" s="10">
        <v>129.81</v>
      </c>
      <c r="K93" s="10">
        <v>125.78</v>
      </c>
      <c r="M93" s="10">
        <v>129.37666999999999</v>
      </c>
      <c r="N93" s="10">
        <v>151.13545999999999</v>
      </c>
      <c r="O93" s="10">
        <v>147.17932000000002</v>
      </c>
      <c r="Q93" s="21">
        <v>1382.16</v>
      </c>
      <c r="R93" s="21">
        <v>1251.44</v>
      </c>
      <c r="S93" s="21">
        <v>1275.21</v>
      </c>
    </row>
    <row r="94" spans="1:19" x14ac:dyDescent="0.2">
      <c r="A94" s="9" t="s">
        <v>191</v>
      </c>
      <c r="B94" s="9" t="s">
        <v>192</v>
      </c>
      <c r="C94" s="9">
        <v>1</v>
      </c>
      <c r="D94" s="9">
        <v>0</v>
      </c>
      <c r="E94" s="9">
        <v>37</v>
      </c>
      <c r="F94" s="9">
        <f t="shared" si="1"/>
        <v>38</v>
      </c>
      <c r="H94" s="10">
        <v>496</v>
      </c>
      <c r="I94" s="10">
        <v>0</v>
      </c>
      <c r="J94" s="10">
        <v>216.25</v>
      </c>
      <c r="K94" s="10">
        <v>224.73</v>
      </c>
      <c r="M94" s="10">
        <v>0</v>
      </c>
      <c r="N94" s="10">
        <v>449.22128999999995</v>
      </c>
      <c r="O94" s="10">
        <v>446.21458000000001</v>
      </c>
      <c r="Q94" s="21">
        <v>0</v>
      </c>
      <c r="R94" s="21">
        <v>2390.7600000000002</v>
      </c>
      <c r="S94" s="21">
        <v>2339.6999999999998</v>
      </c>
    </row>
    <row r="95" spans="1:19" x14ac:dyDescent="0.2">
      <c r="A95" s="9" t="s">
        <v>193</v>
      </c>
      <c r="B95" s="9" t="s">
        <v>194</v>
      </c>
      <c r="C95" s="9">
        <v>129</v>
      </c>
      <c r="D95" s="9">
        <v>0</v>
      </c>
      <c r="E95" s="9">
        <v>488</v>
      </c>
      <c r="F95" s="9">
        <f t="shared" si="1"/>
        <v>617</v>
      </c>
      <c r="H95" s="10">
        <v>90.74</v>
      </c>
      <c r="I95" s="10">
        <v>0</v>
      </c>
      <c r="J95" s="10">
        <v>84.21</v>
      </c>
      <c r="K95" s="10">
        <v>85.59</v>
      </c>
      <c r="M95" s="10">
        <v>191.58392999999998</v>
      </c>
      <c r="N95" s="10">
        <v>141.90388000000002</v>
      </c>
      <c r="O95" s="10">
        <v>152.45238000000001</v>
      </c>
      <c r="Q95" s="21">
        <v>2142.3000000000002</v>
      </c>
      <c r="R95" s="21">
        <v>1634.86</v>
      </c>
      <c r="S95" s="21">
        <v>1742.6</v>
      </c>
    </row>
    <row r="96" spans="1:19" x14ac:dyDescent="0.2">
      <c r="A96" s="9" t="s">
        <v>195</v>
      </c>
      <c r="B96" s="9" t="s">
        <v>196</v>
      </c>
      <c r="C96" s="9">
        <v>6</v>
      </c>
      <c r="D96" s="9">
        <v>0</v>
      </c>
      <c r="E96" s="9">
        <v>17</v>
      </c>
      <c r="F96" s="9">
        <f t="shared" si="1"/>
        <v>23</v>
      </c>
      <c r="H96" s="10">
        <v>102.83</v>
      </c>
      <c r="I96" s="10">
        <v>0</v>
      </c>
      <c r="J96" s="10">
        <v>89.94</v>
      </c>
      <c r="K96" s="10">
        <v>93.46</v>
      </c>
      <c r="M96" s="10">
        <v>169.42332999999999</v>
      </c>
      <c r="N96" s="10">
        <v>111.41875</v>
      </c>
      <c r="O96" s="10">
        <v>127.23818</v>
      </c>
      <c r="Q96" s="21">
        <v>1586.22</v>
      </c>
      <c r="R96" s="21">
        <v>1314.98</v>
      </c>
      <c r="S96" s="21">
        <v>1388.95</v>
      </c>
    </row>
    <row r="97" spans="1:19" x14ac:dyDescent="0.2">
      <c r="A97" s="9" t="s">
        <v>197</v>
      </c>
      <c r="B97" s="9" t="s">
        <v>198</v>
      </c>
      <c r="C97" s="9">
        <v>21</v>
      </c>
      <c r="D97" s="9">
        <v>0</v>
      </c>
      <c r="E97" s="9">
        <v>88</v>
      </c>
      <c r="F97" s="9">
        <f t="shared" si="1"/>
        <v>109</v>
      </c>
      <c r="H97" s="10">
        <v>99</v>
      </c>
      <c r="I97" s="10">
        <v>0</v>
      </c>
      <c r="J97" s="10">
        <v>92.83</v>
      </c>
      <c r="K97" s="10">
        <v>94.1</v>
      </c>
      <c r="M97" s="10">
        <v>241.22705999999999</v>
      </c>
      <c r="N97" s="10">
        <v>197.34667999999999</v>
      </c>
      <c r="O97" s="10">
        <v>206.47032000000002</v>
      </c>
      <c r="Q97" s="21">
        <v>2504.12</v>
      </c>
      <c r="R97" s="21">
        <v>2150.7600000000002</v>
      </c>
      <c r="S97" s="21">
        <v>2224.23</v>
      </c>
    </row>
    <row r="98" spans="1:19" x14ac:dyDescent="0.2">
      <c r="A98" s="9" t="s">
        <v>199</v>
      </c>
      <c r="B98" s="9" t="s">
        <v>200</v>
      </c>
      <c r="C98" s="9">
        <v>10</v>
      </c>
      <c r="D98" s="9">
        <v>1</v>
      </c>
      <c r="E98" s="9">
        <v>75</v>
      </c>
      <c r="F98" s="9">
        <f t="shared" si="1"/>
        <v>86</v>
      </c>
      <c r="H98" s="10">
        <v>126.22</v>
      </c>
      <c r="I98" s="10">
        <v>0</v>
      </c>
      <c r="J98" s="10">
        <v>86.78</v>
      </c>
      <c r="K98" s="10">
        <v>92</v>
      </c>
      <c r="M98" s="10">
        <v>67.55556</v>
      </c>
      <c r="N98" s="10">
        <v>61.584139999999998</v>
      </c>
      <c r="O98" s="10">
        <v>62.450960000000002</v>
      </c>
      <c r="Q98" s="21">
        <v>509.39</v>
      </c>
      <c r="R98" s="21">
        <v>694.54</v>
      </c>
      <c r="S98" s="21">
        <v>667.66</v>
      </c>
    </row>
    <row r="99" spans="1:19" x14ac:dyDescent="0.2">
      <c r="A99" s="9" t="s">
        <v>201</v>
      </c>
      <c r="B99" s="9" t="s">
        <v>202</v>
      </c>
      <c r="C99" s="9">
        <v>32</v>
      </c>
      <c r="D99" s="9">
        <v>2</v>
      </c>
      <c r="E99" s="9">
        <v>186</v>
      </c>
      <c r="F99" s="9">
        <f t="shared" si="1"/>
        <v>220</v>
      </c>
      <c r="H99" s="10">
        <v>82.27</v>
      </c>
      <c r="I99" s="10">
        <v>68.5</v>
      </c>
      <c r="J99" s="10">
        <v>85.32</v>
      </c>
      <c r="K99" s="10">
        <v>84.74</v>
      </c>
      <c r="M99" s="10">
        <v>117.79808</v>
      </c>
      <c r="N99" s="10">
        <v>140.81081</v>
      </c>
      <c r="O99" s="10">
        <v>137.29122000000001</v>
      </c>
      <c r="Q99" s="21">
        <v>1567.81</v>
      </c>
      <c r="R99" s="21">
        <v>1755.7</v>
      </c>
      <c r="S99" s="21">
        <v>1726.96</v>
      </c>
    </row>
    <row r="100" spans="1:19" x14ac:dyDescent="0.2">
      <c r="A100" s="9" t="s">
        <v>203</v>
      </c>
      <c r="B100" s="9" t="s">
        <v>204</v>
      </c>
      <c r="C100" s="9">
        <v>0</v>
      </c>
      <c r="D100" s="9">
        <v>1</v>
      </c>
      <c r="E100" s="9">
        <v>18</v>
      </c>
      <c r="F100" s="9">
        <f t="shared" si="1"/>
        <v>19</v>
      </c>
      <c r="H100" s="10">
        <v>0</v>
      </c>
      <c r="I100" s="10">
        <v>88</v>
      </c>
      <c r="J100" s="10">
        <v>114.5</v>
      </c>
      <c r="K100" s="10">
        <v>112.94</v>
      </c>
      <c r="M100" s="10">
        <v>0</v>
      </c>
      <c r="N100" s="10">
        <v>99.282130000000009</v>
      </c>
      <c r="O100" s="10">
        <v>99.282130000000009</v>
      </c>
      <c r="Q100" s="21">
        <v>0</v>
      </c>
      <c r="R100" s="21">
        <v>806.56</v>
      </c>
      <c r="S100" s="21">
        <v>806.56</v>
      </c>
    </row>
    <row r="101" spans="1:19" x14ac:dyDescent="0.2">
      <c r="A101" s="9" t="s">
        <v>205</v>
      </c>
      <c r="B101" s="9" t="s">
        <v>206</v>
      </c>
      <c r="C101" s="9">
        <v>61</v>
      </c>
      <c r="D101" s="9">
        <v>4</v>
      </c>
      <c r="E101" s="9">
        <v>164</v>
      </c>
      <c r="F101" s="9">
        <f t="shared" si="1"/>
        <v>229</v>
      </c>
      <c r="H101" s="10">
        <v>104.47</v>
      </c>
      <c r="I101" s="10">
        <v>77.5</v>
      </c>
      <c r="J101" s="10">
        <v>89.01</v>
      </c>
      <c r="K101" s="10">
        <v>93.21</v>
      </c>
      <c r="M101" s="10">
        <v>146.10473999999999</v>
      </c>
      <c r="N101" s="10">
        <v>132.85264999999998</v>
      </c>
      <c r="O101" s="10">
        <v>136.69576000000001</v>
      </c>
      <c r="Q101" s="21">
        <v>1462.96</v>
      </c>
      <c r="R101" s="21">
        <v>1474.34</v>
      </c>
      <c r="S101" s="21">
        <v>1471.04</v>
      </c>
    </row>
    <row r="102" spans="1:19" x14ac:dyDescent="0.2">
      <c r="A102" s="9" t="s">
        <v>207</v>
      </c>
      <c r="B102" s="9" t="s">
        <v>208</v>
      </c>
      <c r="C102" s="9">
        <v>6</v>
      </c>
      <c r="D102" s="9">
        <v>25</v>
      </c>
      <c r="E102" s="9">
        <v>49</v>
      </c>
      <c r="F102" s="9">
        <f t="shared" si="1"/>
        <v>80</v>
      </c>
      <c r="H102" s="10">
        <v>99.67</v>
      </c>
      <c r="I102" s="10">
        <v>92.28</v>
      </c>
      <c r="J102" s="10">
        <v>97.72</v>
      </c>
      <c r="K102" s="10">
        <v>96.13</v>
      </c>
      <c r="M102" s="10">
        <v>249.0849</v>
      </c>
      <c r="N102" s="10">
        <v>239.96470000000002</v>
      </c>
      <c r="O102" s="10">
        <v>241.03766000000002</v>
      </c>
      <c r="Q102" s="21">
        <v>2542.4899999999998</v>
      </c>
      <c r="R102" s="21">
        <v>2526.21</v>
      </c>
      <c r="S102" s="21">
        <v>2528.13</v>
      </c>
    </row>
    <row r="103" spans="1:19" x14ac:dyDescent="0.2">
      <c r="A103" s="9" t="s">
        <v>209</v>
      </c>
      <c r="B103" s="9" t="s">
        <v>210</v>
      </c>
      <c r="C103" s="9">
        <v>9</v>
      </c>
      <c r="D103" s="9">
        <v>1</v>
      </c>
      <c r="E103" s="9">
        <v>13</v>
      </c>
      <c r="F103" s="9">
        <f t="shared" si="1"/>
        <v>23</v>
      </c>
      <c r="H103" s="10">
        <v>75.33</v>
      </c>
      <c r="I103" s="10">
        <v>93</v>
      </c>
      <c r="J103" s="10">
        <v>83.92</v>
      </c>
      <c r="K103" s="10">
        <v>80.95</v>
      </c>
      <c r="M103" s="10">
        <v>93.137779999999992</v>
      </c>
      <c r="N103" s="10">
        <v>116.04833000000001</v>
      </c>
      <c r="O103" s="10">
        <v>106.22952000000001</v>
      </c>
      <c r="Q103" s="21">
        <v>1225.44</v>
      </c>
      <c r="R103" s="21">
        <v>1421.14</v>
      </c>
      <c r="S103" s="21">
        <v>1337.27</v>
      </c>
    </row>
    <row r="104" spans="1:19" x14ac:dyDescent="0.2">
      <c r="A104" s="9" t="s">
        <v>211</v>
      </c>
      <c r="B104" s="9" t="s">
        <v>212</v>
      </c>
      <c r="C104" s="9">
        <v>11</v>
      </c>
      <c r="D104" s="9">
        <v>0</v>
      </c>
      <c r="E104" s="9">
        <v>55</v>
      </c>
      <c r="F104" s="9">
        <f t="shared" si="1"/>
        <v>66</v>
      </c>
      <c r="H104" s="10">
        <v>72.73</v>
      </c>
      <c r="I104" s="10">
        <v>0</v>
      </c>
      <c r="J104" s="10">
        <v>87.55</v>
      </c>
      <c r="K104" s="10">
        <v>84.74</v>
      </c>
      <c r="M104" s="10">
        <v>90.709090000000003</v>
      </c>
      <c r="N104" s="10">
        <v>155.13345000000001</v>
      </c>
      <c r="O104" s="10">
        <v>140.67084</v>
      </c>
      <c r="Q104" s="21">
        <v>1234.27</v>
      </c>
      <c r="R104" s="21">
        <v>1569.56</v>
      </c>
      <c r="S104" s="21">
        <v>1494.29</v>
      </c>
    </row>
    <row r="105" spans="1:19" x14ac:dyDescent="0.2">
      <c r="A105" s="9" t="s">
        <v>213</v>
      </c>
      <c r="B105" s="9" t="s">
        <v>214</v>
      </c>
      <c r="C105" s="9">
        <v>0</v>
      </c>
      <c r="D105" s="9">
        <v>0</v>
      </c>
      <c r="E105" s="9">
        <v>218</v>
      </c>
      <c r="F105" s="9">
        <f t="shared" si="1"/>
        <v>218</v>
      </c>
      <c r="H105" s="10">
        <v>0</v>
      </c>
      <c r="I105" s="10">
        <v>0</v>
      </c>
      <c r="J105" s="10">
        <v>94.17</v>
      </c>
      <c r="K105" s="10">
        <v>94.17</v>
      </c>
      <c r="M105" s="10">
        <v>0</v>
      </c>
      <c r="N105" s="10">
        <v>127.17235000000001</v>
      </c>
      <c r="O105" s="10">
        <v>127.17235000000001</v>
      </c>
      <c r="Q105" s="21">
        <v>0</v>
      </c>
      <c r="R105" s="21">
        <v>1444.42</v>
      </c>
      <c r="S105" s="21">
        <v>1444.42</v>
      </c>
    </row>
    <row r="106" spans="1:19" x14ac:dyDescent="0.2">
      <c r="A106" s="9" t="s">
        <v>215</v>
      </c>
      <c r="B106" s="9" t="s">
        <v>216</v>
      </c>
      <c r="C106" s="9">
        <v>2</v>
      </c>
      <c r="D106" s="9">
        <v>0</v>
      </c>
      <c r="E106" s="9">
        <v>23</v>
      </c>
      <c r="F106" s="9">
        <f t="shared" si="1"/>
        <v>25</v>
      </c>
      <c r="H106" s="10">
        <v>26</v>
      </c>
      <c r="I106" s="10">
        <v>0</v>
      </c>
      <c r="J106" s="10">
        <v>111.5</v>
      </c>
      <c r="K106" s="10">
        <v>106.47</v>
      </c>
      <c r="M106" s="10">
        <v>0</v>
      </c>
      <c r="N106" s="10">
        <v>67.603740000000002</v>
      </c>
      <c r="O106" s="10">
        <v>65.979990000000001</v>
      </c>
      <c r="Q106" s="21">
        <v>0</v>
      </c>
      <c r="R106" s="21">
        <v>611.67999999999995</v>
      </c>
      <c r="S106" s="21">
        <v>666.2</v>
      </c>
    </row>
    <row r="107" spans="1:19" x14ac:dyDescent="0.2">
      <c r="A107" s="9" t="s">
        <v>217</v>
      </c>
      <c r="B107" s="9" t="s">
        <v>218</v>
      </c>
      <c r="C107" s="9">
        <v>3</v>
      </c>
      <c r="D107" s="9">
        <v>0</v>
      </c>
      <c r="E107" s="9">
        <v>16</v>
      </c>
      <c r="F107" s="9">
        <f t="shared" si="1"/>
        <v>19</v>
      </c>
      <c r="H107" s="10">
        <v>143</v>
      </c>
      <c r="I107" s="10">
        <v>0</v>
      </c>
      <c r="J107" s="10">
        <v>113.07</v>
      </c>
      <c r="K107" s="10">
        <v>116.59</v>
      </c>
      <c r="M107" s="10">
        <v>232.5</v>
      </c>
      <c r="N107" s="10">
        <v>130.30070000000001</v>
      </c>
      <c r="O107" s="10">
        <v>142.32415</v>
      </c>
      <c r="Q107" s="21">
        <v>1657.47</v>
      </c>
      <c r="R107" s="21">
        <v>1456.12</v>
      </c>
      <c r="S107" s="21">
        <v>1479.81</v>
      </c>
    </row>
    <row r="108" spans="1:19" x14ac:dyDescent="0.2">
      <c r="A108" s="9" t="s">
        <v>219</v>
      </c>
      <c r="B108" s="9" t="s">
        <v>220</v>
      </c>
      <c r="C108" s="9">
        <v>7</v>
      </c>
      <c r="D108" s="9">
        <v>1</v>
      </c>
      <c r="E108" s="9">
        <v>9</v>
      </c>
      <c r="F108" s="9">
        <f t="shared" si="1"/>
        <v>17</v>
      </c>
      <c r="H108" s="10">
        <v>97</v>
      </c>
      <c r="I108" s="10">
        <v>37</v>
      </c>
      <c r="J108" s="10">
        <v>84.29</v>
      </c>
      <c r="K108" s="10">
        <v>83.46</v>
      </c>
      <c r="M108" s="10">
        <v>61.333330000000004</v>
      </c>
      <c r="N108" s="10">
        <v>83.777710000000013</v>
      </c>
      <c r="O108" s="10">
        <v>77.044399999999996</v>
      </c>
      <c r="Q108" s="21">
        <v>616</v>
      </c>
      <c r="R108" s="21">
        <v>1490.39</v>
      </c>
      <c r="S108" s="21">
        <v>1228.07</v>
      </c>
    </row>
    <row r="109" spans="1:19" x14ac:dyDescent="0.2">
      <c r="A109" s="9" t="s">
        <v>221</v>
      </c>
      <c r="B109" s="9" t="s">
        <v>222</v>
      </c>
      <c r="C109" s="9">
        <v>0</v>
      </c>
      <c r="D109" s="9">
        <v>0</v>
      </c>
      <c r="E109" s="9">
        <v>110</v>
      </c>
      <c r="F109" s="9">
        <f t="shared" si="1"/>
        <v>110</v>
      </c>
      <c r="H109" s="10">
        <v>0</v>
      </c>
      <c r="I109" s="10">
        <v>0</v>
      </c>
      <c r="J109" s="10">
        <v>87.54</v>
      </c>
      <c r="K109" s="10">
        <v>87.54</v>
      </c>
      <c r="M109" s="10">
        <v>0</v>
      </c>
      <c r="N109" s="10">
        <v>125.41369999999999</v>
      </c>
      <c r="O109" s="10">
        <v>125.41369999999999</v>
      </c>
      <c r="Q109" s="21">
        <v>0</v>
      </c>
      <c r="R109" s="21">
        <v>1469.7</v>
      </c>
      <c r="S109" s="21">
        <v>1469.7</v>
      </c>
    </row>
    <row r="110" spans="1:19" x14ac:dyDescent="0.2">
      <c r="A110" s="9" t="s">
        <v>223</v>
      </c>
      <c r="B110" s="9" t="s">
        <v>224</v>
      </c>
      <c r="C110" s="9">
        <v>146</v>
      </c>
      <c r="D110" s="9">
        <v>8</v>
      </c>
      <c r="E110" s="9">
        <v>93</v>
      </c>
      <c r="F110" s="9">
        <f t="shared" si="1"/>
        <v>247</v>
      </c>
      <c r="H110" s="10">
        <v>83.93</v>
      </c>
      <c r="I110" s="10">
        <v>74.290000000000006</v>
      </c>
      <c r="J110" s="10">
        <v>86.41</v>
      </c>
      <c r="K110" s="10">
        <v>84.76</v>
      </c>
      <c r="M110" s="10">
        <v>80.575419999999994</v>
      </c>
      <c r="N110" s="10">
        <v>97.86224</v>
      </c>
      <c r="O110" s="10">
        <v>89.091719999999995</v>
      </c>
      <c r="Q110" s="21">
        <v>1038.67</v>
      </c>
      <c r="R110" s="21">
        <v>1195.7</v>
      </c>
      <c r="S110" s="21">
        <v>1116.03</v>
      </c>
    </row>
    <row r="111" spans="1:19" x14ac:dyDescent="0.2">
      <c r="A111" s="9" t="s">
        <v>225</v>
      </c>
      <c r="B111" s="9" t="s">
        <v>226</v>
      </c>
      <c r="C111" s="9">
        <v>6</v>
      </c>
      <c r="D111" s="9">
        <v>0</v>
      </c>
      <c r="E111" s="9">
        <v>43</v>
      </c>
      <c r="F111" s="9">
        <f t="shared" si="1"/>
        <v>49</v>
      </c>
      <c r="H111" s="10">
        <v>128.16999999999999</v>
      </c>
      <c r="I111" s="10">
        <v>0</v>
      </c>
      <c r="J111" s="10">
        <v>96</v>
      </c>
      <c r="K111" s="10">
        <v>100.11</v>
      </c>
      <c r="M111" s="10">
        <v>132</v>
      </c>
      <c r="N111" s="10">
        <v>108.42183</v>
      </c>
      <c r="O111" s="10">
        <v>111.49724000000001</v>
      </c>
      <c r="Q111" s="21">
        <v>1177.1600000000001</v>
      </c>
      <c r="R111" s="21">
        <v>1243.1300000000001</v>
      </c>
      <c r="S111" s="21">
        <v>1234.53</v>
      </c>
    </row>
    <row r="112" spans="1:19" x14ac:dyDescent="0.2">
      <c r="A112" s="9" t="s">
        <v>227</v>
      </c>
      <c r="B112" s="9" t="s">
        <v>228</v>
      </c>
      <c r="C112" s="9">
        <v>47</v>
      </c>
      <c r="D112" s="9">
        <v>0</v>
      </c>
      <c r="E112" s="9">
        <v>215</v>
      </c>
      <c r="F112" s="9">
        <f t="shared" si="1"/>
        <v>262</v>
      </c>
      <c r="H112" s="10">
        <v>114.52</v>
      </c>
      <c r="I112" s="10">
        <v>0</v>
      </c>
      <c r="J112" s="10">
        <v>97.38</v>
      </c>
      <c r="K112" s="10">
        <v>100.47</v>
      </c>
      <c r="M112" s="10">
        <v>334.15138000000002</v>
      </c>
      <c r="N112" s="10">
        <v>175.87414999999999</v>
      </c>
      <c r="O112" s="10">
        <v>205.13549</v>
      </c>
      <c r="Q112" s="21">
        <v>2726.72</v>
      </c>
      <c r="R112" s="21">
        <v>1908.82</v>
      </c>
      <c r="S112" s="21">
        <v>2060.0300000000002</v>
      </c>
    </row>
    <row r="113" spans="1:19" x14ac:dyDescent="0.2">
      <c r="A113" s="9" t="s">
        <v>229</v>
      </c>
      <c r="B113" s="9" t="s">
        <v>230</v>
      </c>
      <c r="C113" s="9">
        <v>34</v>
      </c>
      <c r="D113" s="9">
        <v>1</v>
      </c>
      <c r="E113" s="9">
        <v>124</v>
      </c>
      <c r="F113" s="9">
        <f t="shared" si="1"/>
        <v>159</v>
      </c>
      <c r="H113" s="10">
        <v>83.56</v>
      </c>
      <c r="I113" s="10">
        <v>90</v>
      </c>
      <c r="J113" s="10">
        <v>85.5</v>
      </c>
      <c r="K113" s="10">
        <v>85.1</v>
      </c>
      <c r="M113" s="10">
        <v>180.75550000000001</v>
      </c>
      <c r="N113" s="10">
        <v>164.51098000000002</v>
      </c>
      <c r="O113" s="10">
        <v>168.26822000000001</v>
      </c>
      <c r="Q113" s="21">
        <v>2203.52</v>
      </c>
      <c r="R113" s="21">
        <v>2076.58</v>
      </c>
      <c r="S113" s="21">
        <v>2105.94</v>
      </c>
    </row>
    <row r="114" spans="1:19" x14ac:dyDescent="0.2">
      <c r="A114" s="9" t="s">
        <v>231</v>
      </c>
      <c r="B114" s="9" t="s">
        <v>232</v>
      </c>
      <c r="C114" s="9">
        <v>3</v>
      </c>
      <c r="D114" s="9">
        <v>0</v>
      </c>
      <c r="E114" s="9">
        <v>41</v>
      </c>
      <c r="F114" s="9">
        <f t="shared" si="1"/>
        <v>44</v>
      </c>
      <c r="H114" s="10">
        <v>240</v>
      </c>
      <c r="I114" s="10">
        <v>0</v>
      </c>
      <c r="J114" s="10">
        <v>134.19</v>
      </c>
      <c r="K114" s="10">
        <v>139.62</v>
      </c>
      <c r="M114" s="10">
        <v>290</v>
      </c>
      <c r="N114" s="10">
        <v>241.80475000000001</v>
      </c>
      <c r="O114" s="10">
        <v>244.27629999999999</v>
      </c>
      <c r="Q114" s="21">
        <v>1360.4</v>
      </c>
      <c r="R114" s="21">
        <v>1896.18</v>
      </c>
      <c r="S114" s="21">
        <v>1868.7</v>
      </c>
    </row>
    <row r="115" spans="1:19" x14ac:dyDescent="0.2">
      <c r="A115" s="9" t="s">
        <v>233</v>
      </c>
      <c r="B115" s="9" t="s">
        <v>234</v>
      </c>
      <c r="C115" s="9">
        <v>12</v>
      </c>
      <c r="D115" s="9">
        <v>1</v>
      </c>
      <c r="E115" s="9">
        <v>58</v>
      </c>
      <c r="F115" s="9">
        <f t="shared" si="1"/>
        <v>71</v>
      </c>
      <c r="H115" s="10">
        <v>99.8</v>
      </c>
      <c r="I115" s="10">
        <v>83</v>
      </c>
      <c r="J115" s="10">
        <v>110.7</v>
      </c>
      <c r="K115" s="10">
        <v>108.46</v>
      </c>
      <c r="M115" s="10">
        <v>204.25</v>
      </c>
      <c r="N115" s="10">
        <v>203.25348000000002</v>
      </c>
      <c r="O115" s="10">
        <v>203.43143000000001</v>
      </c>
      <c r="Q115" s="21">
        <v>2122.96</v>
      </c>
      <c r="R115" s="21">
        <v>1941.54</v>
      </c>
      <c r="S115" s="21">
        <v>1973.94</v>
      </c>
    </row>
    <row r="116" spans="1:19" x14ac:dyDescent="0.2">
      <c r="A116" s="9" t="s">
        <v>235</v>
      </c>
      <c r="B116" s="9" t="s">
        <v>236</v>
      </c>
      <c r="C116" s="9">
        <v>20</v>
      </c>
      <c r="D116" s="9">
        <v>1</v>
      </c>
      <c r="E116" s="9">
        <v>72</v>
      </c>
      <c r="F116" s="9">
        <f t="shared" si="1"/>
        <v>93</v>
      </c>
      <c r="H116" s="10">
        <v>82.11</v>
      </c>
      <c r="I116" s="10">
        <v>79</v>
      </c>
      <c r="J116" s="10">
        <v>98.51</v>
      </c>
      <c r="K116" s="10">
        <v>94.52</v>
      </c>
      <c r="M116" s="10">
        <v>144.584</v>
      </c>
      <c r="N116" s="10">
        <v>173.61613</v>
      </c>
      <c r="O116" s="10">
        <v>166.721</v>
      </c>
      <c r="Q116" s="21">
        <v>2026.7</v>
      </c>
      <c r="R116" s="21">
        <v>1908.6</v>
      </c>
      <c r="S116" s="21">
        <v>1936.65</v>
      </c>
    </row>
    <row r="117" spans="1:19" x14ac:dyDescent="0.2">
      <c r="A117" s="9" t="s">
        <v>237</v>
      </c>
      <c r="B117" s="9" t="s">
        <v>238</v>
      </c>
      <c r="C117" s="9">
        <v>15</v>
      </c>
      <c r="D117" s="9">
        <v>0</v>
      </c>
      <c r="E117" s="9">
        <v>67</v>
      </c>
      <c r="F117" s="9">
        <f t="shared" si="1"/>
        <v>82</v>
      </c>
      <c r="H117" s="10">
        <v>122.71</v>
      </c>
      <c r="I117" s="10">
        <v>0</v>
      </c>
      <c r="J117" s="10">
        <v>119.24</v>
      </c>
      <c r="K117" s="10">
        <v>119.88</v>
      </c>
      <c r="M117" s="10">
        <v>110.49286000000001</v>
      </c>
      <c r="N117" s="10">
        <v>119.64725</v>
      </c>
      <c r="O117" s="10">
        <v>117.96091</v>
      </c>
      <c r="Q117" s="21">
        <v>1083.93</v>
      </c>
      <c r="R117" s="21">
        <v>1074.75</v>
      </c>
      <c r="S117" s="21">
        <v>1076.44</v>
      </c>
    </row>
    <row r="118" spans="1:19" x14ac:dyDescent="0.2">
      <c r="A118" s="9" t="s">
        <v>239</v>
      </c>
      <c r="B118" s="9" t="s">
        <v>240</v>
      </c>
      <c r="C118" s="9">
        <v>23</v>
      </c>
      <c r="D118" s="9">
        <v>0</v>
      </c>
      <c r="E118" s="9">
        <v>198</v>
      </c>
      <c r="F118" s="9">
        <f t="shared" si="1"/>
        <v>221</v>
      </c>
      <c r="H118" s="10">
        <v>76.83</v>
      </c>
      <c r="I118" s="10">
        <v>0</v>
      </c>
      <c r="J118" s="10">
        <v>77.22</v>
      </c>
      <c r="K118" s="10">
        <v>77.180000000000007</v>
      </c>
      <c r="M118" s="10">
        <v>115.41655</v>
      </c>
      <c r="N118" s="10">
        <v>117.36942999999999</v>
      </c>
      <c r="O118" s="10">
        <v>117.13427</v>
      </c>
      <c r="Q118" s="21">
        <v>1522.96</v>
      </c>
      <c r="R118" s="21">
        <v>1576.88</v>
      </c>
      <c r="S118" s="21">
        <v>1570.39</v>
      </c>
    </row>
    <row r="119" spans="1:19" x14ac:dyDescent="0.2">
      <c r="A119" s="9" t="s">
        <v>241</v>
      </c>
      <c r="B119" s="9" t="s">
        <v>242</v>
      </c>
      <c r="C119" s="9">
        <v>1</v>
      </c>
      <c r="D119" s="9">
        <v>16</v>
      </c>
      <c r="E119" s="9">
        <v>44</v>
      </c>
      <c r="F119" s="9">
        <f t="shared" si="1"/>
        <v>61</v>
      </c>
      <c r="H119" s="10">
        <v>0</v>
      </c>
      <c r="I119" s="10">
        <v>80.25</v>
      </c>
      <c r="J119" s="10">
        <v>98.18</v>
      </c>
      <c r="K119" s="10">
        <v>92.96</v>
      </c>
      <c r="M119" s="10">
        <v>0</v>
      </c>
      <c r="N119" s="10">
        <v>157.64544000000001</v>
      </c>
      <c r="O119" s="10">
        <v>157.64544000000001</v>
      </c>
      <c r="Q119" s="21">
        <v>0</v>
      </c>
      <c r="R119" s="21">
        <v>1642.52</v>
      </c>
      <c r="S119" s="21">
        <v>1642.52</v>
      </c>
    </row>
    <row r="120" spans="1:19" x14ac:dyDescent="0.2">
      <c r="A120" s="9" t="s">
        <v>243</v>
      </c>
      <c r="B120" s="9" t="s">
        <v>244</v>
      </c>
      <c r="C120" s="9">
        <v>22</v>
      </c>
      <c r="D120" s="9">
        <v>0</v>
      </c>
      <c r="E120" s="9">
        <v>197</v>
      </c>
      <c r="F120" s="9">
        <f t="shared" si="1"/>
        <v>219</v>
      </c>
      <c r="H120" s="10">
        <v>87.89</v>
      </c>
      <c r="I120" s="10">
        <v>0</v>
      </c>
      <c r="J120" s="10">
        <v>75.459999999999994</v>
      </c>
      <c r="K120" s="10">
        <v>76.7</v>
      </c>
      <c r="M120" s="10">
        <v>240.11467000000002</v>
      </c>
      <c r="N120" s="10">
        <v>172.17195999999998</v>
      </c>
      <c r="O120" s="10">
        <v>179.00217999999998</v>
      </c>
      <c r="Q120" s="21">
        <v>2742.78</v>
      </c>
      <c r="R120" s="21">
        <v>2422.6799999999998</v>
      </c>
      <c r="S120" s="21">
        <v>2454.86</v>
      </c>
    </row>
    <row r="121" spans="1:19" x14ac:dyDescent="0.2">
      <c r="A121" s="9" t="s">
        <v>245</v>
      </c>
      <c r="B121" s="9" t="s">
        <v>246</v>
      </c>
      <c r="C121" s="9">
        <v>0</v>
      </c>
      <c r="D121" s="9">
        <v>0</v>
      </c>
      <c r="E121" s="9">
        <v>30</v>
      </c>
      <c r="F121" s="9">
        <f t="shared" si="1"/>
        <v>30</v>
      </c>
      <c r="H121" s="10">
        <v>0</v>
      </c>
      <c r="I121" s="10">
        <v>0</v>
      </c>
      <c r="J121" s="10">
        <v>140.81</v>
      </c>
      <c r="K121" s="10">
        <v>140.81</v>
      </c>
      <c r="M121" s="10">
        <v>0</v>
      </c>
      <c r="N121" s="10">
        <v>288.81352000000004</v>
      </c>
      <c r="O121" s="10">
        <v>288.81352000000004</v>
      </c>
      <c r="Q121" s="21">
        <v>0</v>
      </c>
      <c r="R121" s="21">
        <v>2044.28</v>
      </c>
      <c r="S121" s="21">
        <v>2044.28</v>
      </c>
    </row>
    <row r="122" spans="1:19" x14ac:dyDescent="0.2">
      <c r="A122" s="9" t="s">
        <v>247</v>
      </c>
      <c r="B122" s="9" t="s">
        <v>248</v>
      </c>
      <c r="C122" s="9">
        <v>1</v>
      </c>
      <c r="D122" s="9">
        <v>0</v>
      </c>
      <c r="E122" s="9">
        <v>96</v>
      </c>
      <c r="F122" s="9">
        <f t="shared" si="1"/>
        <v>97</v>
      </c>
      <c r="H122" s="10">
        <v>63</v>
      </c>
      <c r="I122" s="10">
        <v>0</v>
      </c>
      <c r="J122" s="10">
        <v>103.06</v>
      </c>
      <c r="K122" s="10">
        <v>102.63</v>
      </c>
      <c r="M122" s="10">
        <v>0</v>
      </c>
      <c r="N122" s="10">
        <v>209.00990999999999</v>
      </c>
      <c r="O122" s="10">
        <v>208.06957999999997</v>
      </c>
      <c r="Q122" s="21">
        <v>0</v>
      </c>
      <c r="R122" s="21">
        <v>2063.67</v>
      </c>
      <c r="S122" s="21">
        <v>2062.37</v>
      </c>
    </row>
    <row r="123" spans="1:19" x14ac:dyDescent="0.2">
      <c r="A123" s="9" t="s">
        <v>249</v>
      </c>
      <c r="B123" s="9" t="s">
        <v>250</v>
      </c>
      <c r="C123" s="9">
        <v>4</v>
      </c>
      <c r="D123" s="9">
        <v>0</v>
      </c>
      <c r="E123" s="9">
        <v>36</v>
      </c>
      <c r="F123" s="9">
        <f t="shared" si="1"/>
        <v>40</v>
      </c>
      <c r="H123" s="10">
        <v>136.25</v>
      </c>
      <c r="I123" s="10">
        <v>0</v>
      </c>
      <c r="J123" s="10">
        <v>92.68</v>
      </c>
      <c r="K123" s="10">
        <v>97.27</v>
      </c>
      <c r="M123" s="10">
        <v>353.17500000000001</v>
      </c>
      <c r="N123" s="10">
        <v>158.14568</v>
      </c>
      <c r="O123" s="10">
        <v>178.67507999999998</v>
      </c>
      <c r="Q123" s="21">
        <v>2237.84</v>
      </c>
      <c r="R123" s="21">
        <v>1763.52</v>
      </c>
      <c r="S123" s="21">
        <v>1813.45</v>
      </c>
    </row>
    <row r="124" spans="1:19" x14ac:dyDescent="0.2">
      <c r="A124" s="9" t="s">
        <v>251</v>
      </c>
      <c r="B124" s="9" t="s">
        <v>252</v>
      </c>
      <c r="C124" s="9">
        <v>55</v>
      </c>
      <c r="D124" s="9">
        <v>14</v>
      </c>
      <c r="E124" s="9">
        <v>596</v>
      </c>
      <c r="F124" s="9">
        <f t="shared" si="1"/>
        <v>665</v>
      </c>
      <c r="H124" s="10">
        <v>123.38</v>
      </c>
      <c r="I124" s="10">
        <v>74.290000000000006</v>
      </c>
      <c r="J124" s="10">
        <v>90.11</v>
      </c>
      <c r="K124" s="10">
        <v>92.6</v>
      </c>
      <c r="M124" s="10">
        <v>160.07733999999999</v>
      </c>
      <c r="N124" s="10">
        <v>91.2911</v>
      </c>
      <c r="O124" s="10">
        <v>97.914960000000008</v>
      </c>
      <c r="Q124" s="21">
        <v>1274.3499999999999</v>
      </c>
      <c r="R124" s="21">
        <v>955.33</v>
      </c>
      <c r="S124" s="21">
        <v>986.05</v>
      </c>
    </row>
    <row r="125" spans="1:19" x14ac:dyDescent="0.2">
      <c r="A125" s="9" t="s">
        <v>253</v>
      </c>
      <c r="B125" s="9" t="s">
        <v>254</v>
      </c>
      <c r="C125" s="9">
        <v>0</v>
      </c>
      <c r="D125" s="9">
        <v>0</v>
      </c>
      <c r="E125" s="9">
        <v>12</v>
      </c>
      <c r="F125" s="9">
        <f t="shared" si="1"/>
        <v>12</v>
      </c>
      <c r="H125" s="10">
        <v>0</v>
      </c>
      <c r="I125" s="10">
        <v>0</v>
      </c>
      <c r="J125" s="10">
        <v>70.11</v>
      </c>
      <c r="K125" s="10">
        <v>70.11</v>
      </c>
      <c r="M125" s="10">
        <v>0</v>
      </c>
      <c r="N125" s="10">
        <v>91.831000000000003</v>
      </c>
      <c r="O125" s="10">
        <v>91.831000000000003</v>
      </c>
      <c r="Q125" s="21">
        <v>0</v>
      </c>
      <c r="R125" s="21">
        <v>1222.4000000000001</v>
      </c>
      <c r="S125" s="21">
        <v>1222.4000000000001</v>
      </c>
    </row>
    <row r="126" spans="1:19" x14ac:dyDescent="0.2">
      <c r="A126" s="9" t="s">
        <v>255</v>
      </c>
      <c r="B126" s="9" t="s">
        <v>256</v>
      </c>
      <c r="C126" s="9">
        <v>10</v>
      </c>
      <c r="D126" s="9">
        <v>3</v>
      </c>
      <c r="E126" s="9">
        <v>208</v>
      </c>
      <c r="F126" s="9">
        <f t="shared" si="1"/>
        <v>221</v>
      </c>
      <c r="H126" s="10">
        <v>62.5</v>
      </c>
      <c r="I126" s="10">
        <v>85</v>
      </c>
      <c r="J126" s="10">
        <v>74.05</v>
      </c>
      <c r="K126" s="10">
        <v>73.650000000000006</v>
      </c>
      <c r="M126" s="10">
        <v>110.9975</v>
      </c>
      <c r="N126" s="10">
        <v>165.60451999999998</v>
      </c>
      <c r="O126" s="10">
        <v>162.84658999999999</v>
      </c>
      <c r="Q126" s="21">
        <v>1659.22</v>
      </c>
      <c r="R126" s="21">
        <v>2194.69</v>
      </c>
      <c r="S126" s="21">
        <v>2167.65</v>
      </c>
    </row>
    <row r="127" spans="1:19" x14ac:dyDescent="0.2">
      <c r="A127" s="9" t="s">
        <v>257</v>
      </c>
      <c r="B127" s="9" t="s">
        <v>258</v>
      </c>
      <c r="C127" s="9">
        <v>4</v>
      </c>
      <c r="D127" s="9">
        <v>0</v>
      </c>
      <c r="E127" s="9">
        <v>17</v>
      </c>
      <c r="F127" s="9">
        <f t="shared" si="1"/>
        <v>21</v>
      </c>
      <c r="H127" s="10">
        <v>168</v>
      </c>
      <c r="I127" s="10">
        <v>0</v>
      </c>
      <c r="J127" s="10">
        <v>125.63</v>
      </c>
      <c r="K127" s="10">
        <v>134.1</v>
      </c>
      <c r="M127" s="10">
        <v>181.78029999999998</v>
      </c>
      <c r="N127" s="10">
        <v>138.9375</v>
      </c>
      <c r="O127" s="10">
        <v>147.50605999999999</v>
      </c>
      <c r="Q127" s="21">
        <v>961.09</v>
      </c>
      <c r="R127" s="21">
        <v>1097.6400000000001</v>
      </c>
      <c r="S127" s="21">
        <v>1070.33</v>
      </c>
    </row>
    <row r="128" spans="1:19" x14ac:dyDescent="0.2">
      <c r="A128" s="9" t="s">
        <v>259</v>
      </c>
      <c r="B128" s="9" t="s">
        <v>260</v>
      </c>
      <c r="C128" s="9">
        <v>3</v>
      </c>
      <c r="D128" s="9">
        <v>0</v>
      </c>
      <c r="E128" s="9">
        <v>56</v>
      </c>
      <c r="F128" s="9">
        <f t="shared" si="1"/>
        <v>59</v>
      </c>
      <c r="H128" s="10">
        <v>211</v>
      </c>
      <c r="I128" s="10">
        <v>0</v>
      </c>
      <c r="J128" s="10">
        <v>122.22</v>
      </c>
      <c r="K128" s="10">
        <v>125.92</v>
      </c>
      <c r="M128" s="10">
        <v>291.05</v>
      </c>
      <c r="N128" s="10">
        <v>201.40033</v>
      </c>
      <c r="O128" s="10">
        <v>205.47531000000001</v>
      </c>
      <c r="Q128" s="21">
        <v>1406.98</v>
      </c>
      <c r="R128" s="21">
        <v>1799.79</v>
      </c>
      <c r="S128" s="21">
        <v>1781.93</v>
      </c>
    </row>
    <row r="129" spans="1:19" x14ac:dyDescent="0.2">
      <c r="A129" s="9" t="s">
        <v>261</v>
      </c>
      <c r="B129" s="9" t="s">
        <v>262</v>
      </c>
      <c r="C129" s="9">
        <v>6</v>
      </c>
      <c r="D129" s="9">
        <v>0</v>
      </c>
      <c r="E129" s="9">
        <v>52</v>
      </c>
      <c r="F129" s="9">
        <f t="shared" si="1"/>
        <v>58</v>
      </c>
      <c r="H129" s="10">
        <v>131.33000000000001</v>
      </c>
      <c r="I129" s="10">
        <v>0</v>
      </c>
      <c r="J129" s="10">
        <v>93.9</v>
      </c>
      <c r="K129" s="10">
        <v>98.06</v>
      </c>
      <c r="M129" s="10">
        <v>282.60000000000002</v>
      </c>
      <c r="N129" s="10">
        <v>134.30971</v>
      </c>
      <c r="O129" s="10">
        <v>150.78640999999999</v>
      </c>
      <c r="Q129" s="21">
        <v>2550.4699999999998</v>
      </c>
      <c r="R129" s="21">
        <v>1511.71</v>
      </c>
      <c r="S129" s="21">
        <v>1627.13</v>
      </c>
    </row>
    <row r="130" spans="1:19" x14ac:dyDescent="0.2">
      <c r="A130" s="9" t="s">
        <v>263</v>
      </c>
      <c r="B130" s="9" t="s">
        <v>264</v>
      </c>
      <c r="C130" s="9">
        <v>6</v>
      </c>
      <c r="D130" s="9">
        <v>0</v>
      </c>
      <c r="E130" s="9">
        <v>37</v>
      </c>
      <c r="F130" s="9">
        <f t="shared" si="1"/>
        <v>43</v>
      </c>
      <c r="H130" s="10">
        <v>82.17</v>
      </c>
      <c r="I130" s="10">
        <v>0</v>
      </c>
      <c r="J130" s="10">
        <v>88.26</v>
      </c>
      <c r="K130" s="10">
        <v>87.15</v>
      </c>
      <c r="M130" s="10">
        <v>87.60078</v>
      </c>
      <c r="N130" s="10">
        <v>71.592789999999994</v>
      </c>
      <c r="O130" s="10">
        <v>74.503330000000005</v>
      </c>
      <c r="Q130" s="21">
        <v>1016.96</v>
      </c>
      <c r="R130" s="21">
        <v>866.49</v>
      </c>
      <c r="S130" s="21">
        <v>893.85</v>
      </c>
    </row>
    <row r="131" spans="1:19" x14ac:dyDescent="0.2">
      <c r="A131" s="9" t="s">
        <v>265</v>
      </c>
      <c r="B131" s="9" t="s">
        <v>266</v>
      </c>
      <c r="C131" s="9">
        <v>0</v>
      </c>
      <c r="D131" s="9">
        <v>0</v>
      </c>
      <c r="E131" s="9">
        <v>20</v>
      </c>
      <c r="F131" s="9">
        <f t="shared" si="1"/>
        <v>20</v>
      </c>
      <c r="H131" s="10">
        <v>0</v>
      </c>
      <c r="I131" s="10">
        <v>0</v>
      </c>
      <c r="J131" s="10">
        <v>137.5</v>
      </c>
      <c r="K131" s="10">
        <v>137.5</v>
      </c>
      <c r="M131" s="10">
        <v>0</v>
      </c>
      <c r="N131" s="10">
        <v>92.923439999999999</v>
      </c>
      <c r="O131" s="10">
        <v>92.923439999999999</v>
      </c>
      <c r="Q131" s="21">
        <v>0</v>
      </c>
      <c r="R131" s="21">
        <v>713.05</v>
      </c>
      <c r="S131" s="21">
        <v>713.05</v>
      </c>
    </row>
    <row r="132" spans="1:19" x14ac:dyDescent="0.2">
      <c r="A132" s="9" t="s">
        <v>267</v>
      </c>
      <c r="B132" s="9" t="s">
        <v>268</v>
      </c>
      <c r="C132" s="9">
        <v>4</v>
      </c>
      <c r="D132" s="9">
        <v>0</v>
      </c>
      <c r="E132" s="9">
        <v>313</v>
      </c>
      <c r="F132" s="9">
        <f t="shared" si="1"/>
        <v>317</v>
      </c>
      <c r="H132" s="10">
        <v>87.25</v>
      </c>
      <c r="I132" s="10">
        <v>0</v>
      </c>
      <c r="J132" s="10">
        <v>71.39</v>
      </c>
      <c r="K132" s="10">
        <v>71.61</v>
      </c>
      <c r="M132" s="10">
        <v>147.4425</v>
      </c>
      <c r="N132" s="10">
        <v>157.53014000000002</v>
      </c>
      <c r="O132" s="10">
        <v>157.38806</v>
      </c>
      <c r="Q132" s="21">
        <v>1843.37</v>
      </c>
      <c r="R132" s="21">
        <v>2261.71</v>
      </c>
      <c r="S132" s="21">
        <v>2255.8200000000002</v>
      </c>
    </row>
    <row r="133" spans="1:19" x14ac:dyDescent="0.2">
      <c r="A133" s="9" t="s">
        <v>269</v>
      </c>
      <c r="B133" s="9" t="s">
        <v>270</v>
      </c>
      <c r="C133" s="9">
        <v>43</v>
      </c>
      <c r="D133" s="9">
        <v>0</v>
      </c>
      <c r="E133" s="9">
        <v>432</v>
      </c>
      <c r="F133" s="9">
        <f t="shared" si="1"/>
        <v>475</v>
      </c>
      <c r="H133" s="10">
        <v>97.71</v>
      </c>
      <c r="I133" s="10">
        <v>0</v>
      </c>
      <c r="J133" s="10">
        <v>97.37</v>
      </c>
      <c r="K133" s="10">
        <v>97.4</v>
      </c>
      <c r="M133" s="10">
        <v>143.55519000000001</v>
      </c>
      <c r="N133" s="10">
        <v>162.38989000000001</v>
      </c>
      <c r="O133" s="10">
        <v>160.58141000000001</v>
      </c>
      <c r="Q133" s="21">
        <v>1538.76</v>
      </c>
      <c r="R133" s="21">
        <v>1738.93</v>
      </c>
      <c r="S133" s="21">
        <v>1719.71</v>
      </c>
    </row>
    <row r="134" spans="1:19" x14ac:dyDescent="0.2">
      <c r="A134" s="9" t="s">
        <v>271</v>
      </c>
      <c r="B134" s="9" t="s">
        <v>272</v>
      </c>
      <c r="C134" s="9">
        <v>142</v>
      </c>
      <c r="D134" s="9">
        <v>34</v>
      </c>
      <c r="E134" s="9">
        <v>983</v>
      </c>
      <c r="F134" s="9">
        <f t="shared" ref="F134:F197" si="2">SUM(C134:E134)</f>
        <v>1159</v>
      </c>
      <c r="H134" s="10">
        <v>88.8</v>
      </c>
      <c r="I134" s="10">
        <v>72.86</v>
      </c>
      <c r="J134" s="10">
        <v>89.99</v>
      </c>
      <c r="K134" s="10">
        <v>89.38</v>
      </c>
      <c r="M134" s="10">
        <v>149.76517999999999</v>
      </c>
      <c r="N134" s="10">
        <v>163.96143000000001</v>
      </c>
      <c r="O134" s="10">
        <v>162.11857000000001</v>
      </c>
      <c r="Q134" s="21">
        <v>1981.92</v>
      </c>
      <c r="R134" s="21">
        <v>1834.69</v>
      </c>
      <c r="S134" s="21">
        <v>1853.8</v>
      </c>
    </row>
    <row r="135" spans="1:19" x14ac:dyDescent="0.2">
      <c r="A135" s="9" t="s">
        <v>273</v>
      </c>
      <c r="B135" s="9" t="s">
        <v>274</v>
      </c>
      <c r="C135" s="9">
        <v>0</v>
      </c>
      <c r="D135" s="9">
        <v>0</v>
      </c>
      <c r="E135" s="9">
        <v>15</v>
      </c>
      <c r="F135" s="9">
        <f t="shared" si="2"/>
        <v>15</v>
      </c>
      <c r="H135" s="10">
        <v>0</v>
      </c>
      <c r="I135" s="10">
        <v>0</v>
      </c>
      <c r="J135" s="10">
        <v>87.57</v>
      </c>
      <c r="K135" s="10">
        <v>87.57</v>
      </c>
      <c r="M135" s="10">
        <v>0</v>
      </c>
      <c r="N135" s="10">
        <v>79.896850000000001</v>
      </c>
      <c r="O135" s="10">
        <v>79.896850000000001</v>
      </c>
      <c r="Q135" s="21">
        <v>0</v>
      </c>
      <c r="R135" s="21">
        <v>869.88</v>
      </c>
      <c r="S135" s="21">
        <v>869.88</v>
      </c>
    </row>
    <row r="136" spans="1:19" x14ac:dyDescent="0.2">
      <c r="A136" s="9" t="s">
        <v>275</v>
      </c>
      <c r="B136" s="9" t="s">
        <v>276</v>
      </c>
      <c r="C136" s="9">
        <v>47</v>
      </c>
      <c r="D136" s="9">
        <v>12</v>
      </c>
      <c r="E136" s="9">
        <v>375</v>
      </c>
      <c r="F136" s="9">
        <f t="shared" si="2"/>
        <v>434</v>
      </c>
      <c r="H136" s="10">
        <v>74</v>
      </c>
      <c r="I136" s="10">
        <v>81</v>
      </c>
      <c r="J136" s="10">
        <v>63.83</v>
      </c>
      <c r="K136" s="10">
        <v>65.44</v>
      </c>
      <c r="M136" s="10">
        <v>125.19198</v>
      </c>
      <c r="N136" s="10">
        <v>105.76469999999999</v>
      </c>
      <c r="O136" s="10">
        <v>107.92874999999999</v>
      </c>
      <c r="Q136" s="21">
        <v>1714.39</v>
      </c>
      <c r="R136" s="21">
        <v>1694.87</v>
      </c>
      <c r="S136" s="21">
        <v>1697.04</v>
      </c>
    </row>
    <row r="137" spans="1:19" x14ac:dyDescent="0.2">
      <c r="A137" s="9" t="s">
        <v>277</v>
      </c>
      <c r="B137" s="9" t="s">
        <v>278</v>
      </c>
      <c r="C137" s="9">
        <v>22</v>
      </c>
      <c r="D137" s="9">
        <v>9</v>
      </c>
      <c r="E137" s="9">
        <v>148</v>
      </c>
      <c r="F137" s="9">
        <f t="shared" si="2"/>
        <v>179</v>
      </c>
      <c r="H137" s="10">
        <v>98.91</v>
      </c>
      <c r="I137" s="10">
        <v>87.43</v>
      </c>
      <c r="J137" s="10">
        <v>78.180000000000007</v>
      </c>
      <c r="K137" s="10">
        <v>81.48</v>
      </c>
      <c r="M137" s="10">
        <v>137.02273000000002</v>
      </c>
      <c r="N137" s="10">
        <v>69.984220000000008</v>
      </c>
      <c r="O137" s="10">
        <v>83.152500000000003</v>
      </c>
      <c r="Q137" s="21">
        <v>1439.6</v>
      </c>
      <c r="R137" s="21">
        <v>843.53</v>
      </c>
      <c r="S137" s="21">
        <v>960.62</v>
      </c>
    </row>
    <row r="138" spans="1:19" x14ac:dyDescent="0.2">
      <c r="A138" s="9" t="s">
        <v>279</v>
      </c>
      <c r="B138" s="9" t="s">
        <v>280</v>
      </c>
      <c r="C138" s="9">
        <v>10</v>
      </c>
      <c r="D138" s="9">
        <v>0</v>
      </c>
      <c r="E138" s="9">
        <v>143</v>
      </c>
      <c r="F138" s="9">
        <f t="shared" si="2"/>
        <v>153</v>
      </c>
      <c r="H138" s="10">
        <v>80.22</v>
      </c>
      <c r="I138" s="10">
        <v>0</v>
      </c>
      <c r="J138" s="10">
        <v>74.819999999999993</v>
      </c>
      <c r="K138" s="10">
        <v>75.180000000000007</v>
      </c>
      <c r="M138" s="10">
        <v>223.55555999999999</v>
      </c>
      <c r="N138" s="10">
        <v>188.04604999999998</v>
      </c>
      <c r="O138" s="10">
        <v>192.48473999999999</v>
      </c>
      <c r="Q138" s="21">
        <v>2784.09</v>
      </c>
      <c r="R138" s="21">
        <v>2233.86</v>
      </c>
      <c r="S138" s="21">
        <v>2302.64</v>
      </c>
    </row>
    <row r="139" spans="1:19" x14ac:dyDescent="0.2">
      <c r="A139" s="9" t="s">
        <v>281</v>
      </c>
      <c r="B139" s="9" t="s">
        <v>282</v>
      </c>
      <c r="C139" s="9">
        <v>54</v>
      </c>
      <c r="D139" s="9">
        <v>0</v>
      </c>
      <c r="E139" s="9">
        <v>110</v>
      </c>
      <c r="F139" s="9">
        <f t="shared" si="2"/>
        <v>164</v>
      </c>
      <c r="H139" s="10">
        <v>0</v>
      </c>
      <c r="I139" s="10">
        <v>0</v>
      </c>
      <c r="J139" s="10">
        <v>84.95</v>
      </c>
      <c r="K139" s="10">
        <v>84.95</v>
      </c>
      <c r="M139" s="10">
        <v>0</v>
      </c>
      <c r="N139" s="10">
        <v>149.72816</v>
      </c>
      <c r="O139" s="10">
        <v>149.72816</v>
      </c>
      <c r="Q139" s="21">
        <v>0</v>
      </c>
      <c r="R139" s="21">
        <v>1768.09</v>
      </c>
      <c r="S139" s="21">
        <v>1768.09</v>
      </c>
    </row>
    <row r="140" spans="1:19" x14ac:dyDescent="0.2">
      <c r="A140" s="9" t="s">
        <v>283</v>
      </c>
      <c r="B140" s="9" t="s">
        <v>284</v>
      </c>
      <c r="C140" s="9">
        <v>11</v>
      </c>
      <c r="D140" s="9">
        <v>0</v>
      </c>
      <c r="E140" s="9">
        <v>52</v>
      </c>
      <c r="F140" s="9">
        <f t="shared" si="2"/>
        <v>63</v>
      </c>
      <c r="H140" s="10">
        <v>97.44</v>
      </c>
      <c r="I140" s="10">
        <v>0</v>
      </c>
      <c r="J140" s="10">
        <v>125.16</v>
      </c>
      <c r="K140" s="10">
        <v>120.45</v>
      </c>
      <c r="M140" s="10">
        <v>152.22221999999999</v>
      </c>
      <c r="N140" s="10">
        <v>265.11712</v>
      </c>
      <c r="O140" s="10">
        <v>245.94629</v>
      </c>
      <c r="Q140" s="21">
        <v>1570.82</v>
      </c>
      <c r="R140" s="21">
        <v>2166.9299999999998</v>
      </c>
      <c r="S140" s="21">
        <v>2065.6999999999998</v>
      </c>
    </row>
    <row r="141" spans="1:19" x14ac:dyDescent="0.2">
      <c r="A141" s="9" t="s">
        <v>285</v>
      </c>
      <c r="B141" s="9" t="s">
        <v>286</v>
      </c>
      <c r="C141" s="9">
        <v>2</v>
      </c>
      <c r="D141" s="9">
        <v>0</v>
      </c>
      <c r="E141" s="9">
        <v>31</v>
      </c>
      <c r="F141" s="9">
        <f t="shared" si="2"/>
        <v>33</v>
      </c>
      <c r="H141" s="10">
        <v>183.5</v>
      </c>
      <c r="I141" s="10">
        <v>0</v>
      </c>
      <c r="J141" s="10">
        <v>153.44999999999999</v>
      </c>
      <c r="K141" s="10">
        <v>155.27000000000001</v>
      </c>
      <c r="M141" s="10">
        <v>0</v>
      </c>
      <c r="N141" s="10">
        <v>201.87688</v>
      </c>
      <c r="O141" s="10">
        <v>197.52070999999998</v>
      </c>
      <c r="Q141" s="21">
        <v>0</v>
      </c>
      <c r="R141" s="21">
        <v>1492.91</v>
      </c>
      <c r="S141" s="21">
        <v>1448.32</v>
      </c>
    </row>
    <row r="142" spans="1:19" x14ac:dyDescent="0.2">
      <c r="A142" s="9" t="s">
        <v>287</v>
      </c>
      <c r="B142" s="9" t="s">
        <v>288</v>
      </c>
      <c r="C142" s="9">
        <v>110</v>
      </c>
      <c r="D142" s="9">
        <v>2</v>
      </c>
      <c r="E142" s="9">
        <v>253</v>
      </c>
      <c r="F142" s="9">
        <f t="shared" si="2"/>
        <v>365</v>
      </c>
      <c r="H142" s="10">
        <v>84.38</v>
      </c>
      <c r="I142" s="10">
        <v>57</v>
      </c>
      <c r="J142" s="10">
        <v>77.430000000000007</v>
      </c>
      <c r="K142" s="10">
        <v>78.680000000000007</v>
      </c>
      <c r="M142" s="10">
        <v>207.17778000000001</v>
      </c>
      <c r="N142" s="10">
        <v>148.30238</v>
      </c>
      <c r="O142" s="10">
        <v>160.93556000000001</v>
      </c>
      <c r="Q142" s="21">
        <v>2599.8200000000002</v>
      </c>
      <c r="R142" s="21">
        <v>1976.63</v>
      </c>
      <c r="S142" s="21">
        <v>2110.35</v>
      </c>
    </row>
    <row r="143" spans="1:19" x14ac:dyDescent="0.2">
      <c r="A143" s="9" t="s">
        <v>289</v>
      </c>
      <c r="B143" s="9" t="s">
        <v>290</v>
      </c>
      <c r="C143" s="9">
        <v>1</v>
      </c>
      <c r="D143" s="9">
        <v>0</v>
      </c>
      <c r="E143" s="9">
        <v>116</v>
      </c>
      <c r="F143" s="9">
        <f t="shared" si="2"/>
        <v>117</v>
      </c>
      <c r="H143" s="10">
        <v>68</v>
      </c>
      <c r="I143" s="10">
        <v>0</v>
      </c>
      <c r="J143" s="10">
        <v>80.12</v>
      </c>
      <c r="K143" s="10">
        <v>80.010000000000005</v>
      </c>
      <c r="M143" s="10">
        <v>0</v>
      </c>
      <c r="N143" s="10">
        <v>69.021100000000004</v>
      </c>
      <c r="O143" s="10">
        <v>69.038610000000006</v>
      </c>
      <c r="Q143" s="21">
        <v>0</v>
      </c>
      <c r="R143" s="21">
        <v>882.3</v>
      </c>
      <c r="S143" s="21">
        <v>883.73</v>
      </c>
    </row>
    <row r="144" spans="1:19" x14ac:dyDescent="0.2">
      <c r="A144" s="9" t="s">
        <v>291</v>
      </c>
      <c r="B144" s="9" t="s">
        <v>292</v>
      </c>
      <c r="C144" s="9">
        <v>15</v>
      </c>
      <c r="D144" s="9">
        <v>0</v>
      </c>
      <c r="E144" s="9">
        <v>80</v>
      </c>
      <c r="F144" s="9">
        <f t="shared" si="2"/>
        <v>95</v>
      </c>
      <c r="H144" s="10">
        <v>126.54</v>
      </c>
      <c r="I144" s="10">
        <v>0</v>
      </c>
      <c r="J144" s="10">
        <v>114.64</v>
      </c>
      <c r="K144" s="10">
        <v>116.4</v>
      </c>
      <c r="M144" s="10">
        <v>149.61538000000002</v>
      </c>
      <c r="N144" s="10">
        <v>122.34075</v>
      </c>
      <c r="O144" s="10">
        <v>126.46366</v>
      </c>
      <c r="Q144" s="21">
        <v>1458.35</v>
      </c>
      <c r="R144" s="21">
        <v>1171.25</v>
      </c>
      <c r="S144" s="21">
        <v>1214.6500000000001</v>
      </c>
    </row>
    <row r="145" spans="1:19" x14ac:dyDescent="0.2">
      <c r="A145" s="9" t="s">
        <v>293</v>
      </c>
      <c r="B145" s="9" t="s">
        <v>294</v>
      </c>
      <c r="C145" s="9">
        <v>220</v>
      </c>
      <c r="D145" s="9">
        <v>1</v>
      </c>
      <c r="E145" s="9">
        <v>312</v>
      </c>
      <c r="F145" s="9">
        <f t="shared" si="2"/>
        <v>533</v>
      </c>
      <c r="H145" s="10">
        <v>121.89</v>
      </c>
      <c r="I145" s="10">
        <v>90</v>
      </c>
      <c r="J145" s="10">
        <v>115.4</v>
      </c>
      <c r="K145" s="10">
        <v>118</v>
      </c>
      <c r="M145" s="10">
        <v>390.47869000000003</v>
      </c>
      <c r="N145" s="10">
        <v>382.07809000000003</v>
      </c>
      <c r="O145" s="10">
        <v>385.53935999999999</v>
      </c>
      <c r="Q145" s="21">
        <v>3416.93</v>
      </c>
      <c r="R145" s="21">
        <v>3556.21</v>
      </c>
      <c r="S145" s="21">
        <v>3498.82</v>
      </c>
    </row>
    <row r="146" spans="1:19" x14ac:dyDescent="0.2">
      <c r="A146" s="9" t="s">
        <v>295</v>
      </c>
      <c r="B146" s="9" t="s">
        <v>296</v>
      </c>
      <c r="C146" s="9">
        <v>1</v>
      </c>
      <c r="D146" s="9">
        <v>0</v>
      </c>
      <c r="E146" s="9">
        <v>36</v>
      </c>
      <c r="F146" s="9">
        <f t="shared" si="2"/>
        <v>37</v>
      </c>
      <c r="H146" s="10">
        <v>185</v>
      </c>
      <c r="I146" s="10">
        <v>0</v>
      </c>
      <c r="J146" s="10">
        <v>140.15</v>
      </c>
      <c r="K146" s="10">
        <v>141.47</v>
      </c>
      <c r="M146" s="10">
        <v>0</v>
      </c>
      <c r="N146" s="10">
        <v>194.07661999999999</v>
      </c>
      <c r="O146" s="10">
        <v>195.31672</v>
      </c>
      <c r="Q146" s="21">
        <v>0</v>
      </c>
      <c r="R146" s="21">
        <v>1536.43</v>
      </c>
      <c r="S146" s="21">
        <v>1528.36</v>
      </c>
    </row>
    <row r="147" spans="1:19" x14ac:dyDescent="0.2">
      <c r="A147" s="9" t="s">
        <v>297</v>
      </c>
      <c r="B147" s="9" t="s">
        <v>298</v>
      </c>
      <c r="C147" s="9">
        <v>8</v>
      </c>
      <c r="D147" s="9">
        <v>0</v>
      </c>
      <c r="E147" s="9">
        <v>16</v>
      </c>
      <c r="F147" s="9">
        <f t="shared" si="2"/>
        <v>24</v>
      </c>
      <c r="H147" s="10">
        <v>122.63</v>
      </c>
      <c r="I147" s="10">
        <v>0</v>
      </c>
      <c r="J147" s="10">
        <v>116.38</v>
      </c>
      <c r="K147" s="10">
        <v>118.46</v>
      </c>
      <c r="M147" s="10">
        <v>91.985710000000012</v>
      </c>
      <c r="N147" s="10">
        <v>134.87049999999999</v>
      </c>
      <c r="O147" s="10">
        <v>121.81861000000001</v>
      </c>
      <c r="Q147" s="21">
        <v>1011.91</v>
      </c>
      <c r="R147" s="21">
        <v>1258.45</v>
      </c>
      <c r="S147" s="21">
        <v>1183.42</v>
      </c>
    </row>
    <row r="148" spans="1:19" x14ac:dyDescent="0.2">
      <c r="A148" s="9" t="s">
        <v>299</v>
      </c>
      <c r="B148" s="9" t="s">
        <v>300</v>
      </c>
      <c r="C148" s="9">
        <v>1</v>
      </c>
      <c r="D148" s="9">
        <v>0</v>
      </c>
      <c r="E148" s="9">
        <v>195</v>
      </c>
      <c r="F148" s="9">
        <f t="shared" si="2"/>
        <v>196</v>
      </c>
      <c r="H148" s="10">
        <v>80</v>
      </c>
      <c r="I148" s="10">
        <v>0</v>
      </c>
      <c r="J148" s="10">
        <v>95.46</v>
      </c>
      <c r="K148" s="10">
        <v>95.38</v>
      </c>
      <c r="M148" s="10">
        <v>0</v>
      </c>
      <c r="N148" s="10">
        <v>178.55529000000001</v>
      </c>
      <c r="O148" s="10">
        <v>181.50905</v>
      </c>
      <c r="Q148" s="21">
        <v>0</v>
      </c>
      <c r="R148" s="21">
        <v>1821.1</v>
      </c>
      <c r="S148" s="21">
        <v>1860.24</v>
      </c>
    </row>
    <row r="149" spans="1:19" x14ac:dyDescent="0.2">
      <c r="A149" s="9" t="s">
        <v>301</v>
      </c>
      <c r="B149" s="9" t="s">
        <v>302</v>
      </c>
      <c r="C149" s="9">
        <v>94</v>
      </c>
      <c r="D149" s="9">
        <v>2</v>
      </c>
      <c r="E149" s="9">
        <v>148</v>
      </c>
      <c r="F149" s="9">
        <f t="shared" si="2"/>
        <v>244</v>
      </c>
      <c r="H149" s="10">
        <v>103.67</v>
      </c>
      <c r="I149" s="10">
        <v>73</v>
      </c>
      <c r="J149" s="10">
        <v>85.4</v>
      </c>
      <c r="K149" s="10">
        <v>92.49</v>
      </c>
      <c r="M149" s="10">
        <v>297.66901000000001</v>
      </c>
      <c r="N149" s="10">
        <v>209.11154999999999</v>
      </c>
      <c r="O149" s="10">
        <v>245.90940000000001</v>
      </c>
      <c r="Q149" s="21">
        <v>2863.56</v>
      </c>
      <c r="R149" s="21">
        <v>2465.4499999999998</v>
      </c>
      <c r="S149" s="21">
        <v>2630.87</v>
      </c>
    </row>
    <row r="150" spans="1:19" x14ac:dyDescent="0.2">
      <c r="A150" s="9" t="s">
        <v>303</v>
      </c>
      <c r="B150" s="9" t="s">
        <v>304</v>
      </c>
      <c r="C150" s="9">
        <v>9</v>
      </c>
      <c r="D150" s="9">
        <v>0</v>
      </c>
      <c r="E150" s="9">
        <v>32</v>
      </c>
      <c r="F150" s="9">
        <f t="shared" si="2"/>
        <v>41</v>
      </c>
      <c r="H150" s="10">
        <v>154.22</v>
      </c>
      <c r="I150" s="10">
        <v>0</v>
      </c>
      <c r="J150" s="10">
        <v>207.18</v>
      </c>
      <c r="K150" s="10">
        <v>194.3</v>
      </c>
      <c r="M150" s="10">
        <v>218.88889</v>
      </c>
      <c r="N150" s="10">
        <v>257.16250000000002</v>
      </c>
      <c r="O150" s="10">
        <v>247.8527</v>
      </c>
      <c r="Q150" s="21">
        <v>1623.79</v>
      </c>
      <c r="R150" s="21">
        <v>1444.97</v>
      </c>
      <c r="S150" s="21">
        <v>1488.47</v>
      </c>
    </row>
    <row r="151" spans="1:19" x14ac:dyDescent="0.2">
      <c r="A151" s="9" t="s">
        <v>305</v>
      </c>
      <c r="B151" s="9" t="s">
        <v>306</v>
      </c>
      <c r="C151" s="9">
        <v>10</v>
      </c>
      <c r="D151" s="9">
        <v>1</v>
      </c>
      <c r="E151" s="9">
        <v>27</v>
      </c>
      <c r="F151" s="9">
        <f t="shared" si="2"/>
        <v>38</v>
      </c>
      <c r="H151" s="10">
        <v>100.38</v>
      </c>
      <c r="I151" s="10">
        <v>90</v>
      </c>
      <c r="J151" s="10">
        <v>138.76</v>
      </c>
      <c r="K151" s="10">
        <v>126.9</v>
      </c>
      <c r="M151" s="10">
        <v>108.41219</v>
      </c>
      <c r="N151" s="10">
        <v>198.74583999999999</v>
      </c>
      <c r="O151" s="10">
        <v>173.82621</v>
      </c>
      <c r="Q151" s="21">
        <v>983.44</v>
      </c>
      <c r="R151" s="21">
        <v>1530.75</v>
      </c>
      <c r="S151" s="21">
        <v>1379.77</v>
      </c>
    </row>
    <row r="152" spans="1:19" x14ac:dyDescent="0.2">
      <c r="A152" s="9" t="s">
        <v>307</v>
      </c>
      <c r="B152" s="9" t="s">
        <v>308</v>
      </c>
      <c r="C152" s="9">
        <v>2</v>
      </c>
      <c r="D152" s="9">
        <v>0</v>
      </c>
      <c r="E152" s="9">
        <v>13</v>
      </c>
      <c r="F152" s="9">
        <f t="shared" si="2"/>
        <v>15</v>
      </c>
      <c r="H152" s="10">
        <v>141</v>
      </c>
      <c r="I152" s="10">
        <v>0</v>
      </c>
      <c r="J152" s="10">
        <v>114.15</v>
      </c>
      <c r="K152" s="10">
        <v>117.73</v>
      </c>
      <c r="M152" s="10">
        <v>0</v>
      </c>
      <c r="N152" s="10">
        <v>85.126809999999992</v>
      </c>
      <c r="O152" s="10">
        <v>87.943240000000003</v>
      </c>
      <c r="Q152" s="21">
        <v>0</v>
      </c>
      <c r="R152" s="21">
        <v>718.21</v>
      </c>
      <c r="S152" s="21">
        <v>721.43</v>
      </c>
    </row>
    <row r="153" spans="1:19" x14ac:dyDescent="0.2">
      <c r="A153" s="9" t="s">
        <v>309</v>
      </c>
      <c r="B153" s="9" t="s">
        <v>310</v>
      </c>
      <c r="C153" s="9">
        <v>9</v>
      </c>
      <c r="D153" s="9">
        <v>0</v>
      </c>
      <c r="E153" s="9">
        <v>34</v>
      </c>
      <c r="F153" s="9">
        <f t="shared" si="2"/>
        <v>43</v>
      </c>
      <c r="H153" s="10">
        <v>73.67</v>
      </c>
      <c r="I153" s="10">
        <v>0</v>
      </c>
      <c r="J153" s="10">
        <v>86.63</v>
      </c>
      <c r="K153" s="10">
        <v>83.79</v>
      </c>
      <c r="M153" s="10">
        <v>80.144440000000003</v>
      </c>
      <c r="N153" s="10">
        <v>75.786570000000012</v>
      </c>
      <c r="O153" s="10">
        <v>76.743179999999995</v>
      </c>
      <c r="Q153" s="21">
        <v>1114.82</v>
      </c>
      <c r="R153" s="21">
        <v>997.29</v>
      </c>
      <c r="S153" s="21">
        <v>1023.09</v>
      </c>
    </row>
    <row r="154" spans="1:19" x14ac:dyDescent="0.2">
      <c r="A154" s="9" t="s">
        <v>311</v>
      </c>
      <c r="B154" s="9" t="s">
        <v>312</v>
      </c>
      <c r="C154" s="9">
        <v>62</v>
      </c>
      <c r="D154" s="9">
        <v>4</v>
      </c>
      <c r="E154" s="9">
        <v>102</v>
      </c>
      <c r="F154" s="9">
        <f t="shared" si="2"/>
        <v>168</v>
      </c>
      <c r="H154" s="10">
        <v>76.78</v>
      </c>
      <c r="I154" s="10">
        <v>72.25</v>
      </c>
      <c r="J154" s="10">
        <v>75.67</v>
      </c>
      <c r="K154" s="10">
        <v>76.010000000000005</v>
      </c>
      <c r="M154" s="10">
        <v>239.47056000000001</v>
      </c>
      <c r="N154" s="10">
        <v>205.62327999999999</v>
      </c>
      <c r="O154" s="10">
        <v>219.34514999999999</v>
      </c>
      <c r="Q154" s="21">
        <v>3108.13</v>
      </c>
      <c r="R154" s="21">
        <v>2713.89</v>
      </c>
      <c r="S154" s="21">
        <v>2873.72</v>
      </c>
    </row>
    <row r="155" spans="1:19" x14ac:dyDescent="0.2">
      <c r="A155" s="9" t="s">
        <v>313</v>
      </c>
      <c r="B155" s="9" t="s">
        <v>314</v>
      </c>
      <c r="C155" s="9">
        <v>105</v>
      </c>
      <c r="D155" s="9">
        <v>1</v>
      </c>
      <c r="E155" s="9">
        <v>60</v>
      </c>
      <c r="F155" s="9">
        <f t="shared" si="2"/>
        <v>166</v>
      </c>
      <c r="H155" s="10">
        <v>105.53</v>
      </c>
      <c r="I155" s="10">
        <v>0</v>
      </c>
      <c r="J155" s="10">
        <v>111.59</v>
      </c>
      <c r="K155" s="10">
        <v>107.71</v>
      </c>
      <c r="M155" s="10">
        <v>229.12448000000001</v>
      </c>
      <c r="N155" s="10">
        <v>399.98720000000003</v>
      </c>
      <c r="O155" s="10">
        <v>283.85394000000002</v>
      </c>
      <c r="Q155" s="21">
        <v>2178.09</v>
      </c>
      <c r="R155" s="21">
        <v>3435.71</v>
      </c>
      <c r="S155" s="21">
        <v>2580.92</v>
      </c>
    </row>
    <row r="156" spans="1:19" x14ac:dyDescent="0.2">
      <c r="A156" s="9" t="s">
        <v>315</v>
      </c>
      <c r="B156" s="9" t="s">
        <v>316</v>
      </c>
      <c r="C156" s="9">
        <v>8</v>
      </c>
      <c r="D156" s="9">
        <v>1</v>
      </c>
      <c r="E156" s="9">
        <v>184</v>
      </c>
      <c r="F156" s="9">
        <f t="shared" si="2"/>
        <v>193</v>
      </c>
      <c r="H156" s="10">
        <v>113.86</v>
      </c>
      <c r="I156" s="10">
        <v>90</v>
      </c>
      <c r="J156" s="10">
        <v>110.56</v>
      </c>
      <c r="K156" s="10">
        <v>110.57</v>
      </c>
      <c r="M156" s="10">
        <v>193.84242999999998</v>
      </c>
      <c r="N156" s="10">
        <v>240.49839</v>
      </c>
      <c r="O156" s="10">
        <v>238.51904999999999</v>
      </c>
      <c r="Q156" s="21">
        <v>1776.51</v>
      </c>
      <c r="R156" s="21">
        <v>2265.48</v>
      </c>
      <c r="S156" s="21">
        <v>2244.7399999999998</v>
      </c>
    </row>
    <row r="157" spans="1:19" x14ac:dyDescent="0.2">
      <c r="A157" s="9" t="s">
        <v>317</v>
      </c>
      <c r="B157" s="9" t="s">
        <v>318</v>
      </c>
      <c r="C157" s="9">
        <v>7</v>
      </c>
      <c r="D157" s="9">
        <v>0</v>
      </c>
      <c r="E157" s="9">
        <v>43</v>
      </c>
      <c r="F157" s="9">
        <f t="shared" si="2"/>
        <v>50</v>
      </c>
      <c r="H157" s="10">
        <v>94.14</v>
      </c>
      <c r="I157" s="10">
        <v>0</v>
      </c>
      <c r="J157" s="10">
        <v>117.56</v>
      </c>
      <c r="K157" s="10">
        <v>114.14</v>
      </c>
      <c r="M157" s="10">
        <v>240.38570999999999</v>
      </c>
      <c r="N157" s="10">
        <v>264.56271000000004</v>
      </c>
      <c r="O157" s="10">
        <v>260.96188000000001</v>
      </c>
      <c r="Q157" s="21">
        <v>2883.29</v>
      </c>
      <c r="R157" s="21">
        <v>2483.92</v>
      </c>
      <c r="S157" s="21">
        <v>2543.4</v>
      </c>
    </row>
    <row r="158" spans="1:19" x14ac:dyDescent="0.2">
      <c r="A158" s="9" t="s">
        <v>319</v>
      </c>
      <c r="B158" s="9" t="s">
        <v>320</v>
      </c>
      <c r="C158" s="9">
        <v>8</v>
      </c>
      <c r="D158" s="9">
        <v>0</v>
      </c>
      <c r="E158" s="9">
        <v>99</v>
      </c>
      <c r="F158" s="9">
        <f t="shared" si="2"/>
        <v>107</v>
      </c>
      <c r="H158" s="10">
        <v>65.14</v>
      </c>
      <c r="I158" s="10">
        <v>0</v>
      </c>
      <c r="J158" s="10">
        <v>130.80000000000001</v>
      </c>
      <c r="K158" s="10">
        <v>126.11</v>
      </c>
      <c r="M158" s="10">
        <v>117.77439</v>
      </c>
      <c r="N158" s="10">
        <v>283.65878999999995</v>
      </c>
      <c r="O158" s="10">
        <v>271.68774999999999</v>
      </c>
      <c r="Q158" s="21">
        <v>1845.34</v>
      </c>
      <c r="R158" s="21">
        <v>2374.4499999999998</v>
      </c>
      <c r="S158" s="21">
        <v>2336.27</v>
      </c>
    </row>
    <row r="159" spans="1:19" x14ac:dyDescent="0.2">
      <c r="A159" s="9" t="s">
        <v>321</v>
      </c>
      <c r="B159" s="9" t="s">
        <v>322</v>
      </c>
      <c r="C159" s="9">
        <v>6</v>
      </c>
      <c r="D159" s="9">
        <v>1</v>
      </c>
      <c r="E159" s="9">
        <v>31</v>
      </c>
      <c r="F159" s="9">
        <f t="shared" si="2"/>
        <v>38</v>
      </c>
      <c r="H159" s="10">
        <v>89.75</v>
      </c>
      <c r="I159" s="10">
        <v>86</v>
      </c>
      <c r="J159" s="10">
        <v>72.97</v>
      </c>
      <c r="K159" s="10">
        <v>75.33</v>
      </c>
      <c r="M159" s="10">
        <v>111.375</v>
      </c>
      <c r="N159" s="10">
        <v>102.36149</v>
      </c>
      <c r="O159" s="10">
        <v>103.64913</v>
      </c>
      <c r="Q159" s="21">
        <v>1214.24</v>
      </c>
      <c r="R159" s="21">
        <v>1402.47</v>
      </c>
      <c r="S159" s="21">
        <v>1375.58</v>
      </c>
    </row>
    <row r="160" spans="1:19" x14ac:dyDescent="0.2">
      <c r="A160" s="9" t="s">
        <v>323</v>
      </c>
      <c r="B160" s="9" t="s">
        <v>324</v>
      </c>
      <c r="C160" s="9">
        <v>9</v>
      </c>
      <c r="D160" s="9">
        <v>1</v>
      </c>
      <c r="E160" s="9">
        <v>49</v>
      </c>
      <c r="F160" s="9">
        <f t="shared" si="2"/>
        <v>59</v>
      </c>
      <c r="H160" s="10">
        <v>71.290000000000006</v>
      </c>
      <c r="I160" s="10">
        <v>92</v>
      </c>
      <c r="J160" s="10">
        <v>76.489999999999995</v>
      </c>
      <c r="K160" s="10">
        <v>76.11</v>
      </c>
      <c r="M160" s="10">
        <v>76.163570000000007</v>
      </c>
      <c r="N160" s="10">
        <v>95.530630000000002</v>
      </c>
      <c r="O160" s="10">
        <v>93.020089999999996</v>
      </c>
      <c r="Q160" s="21">
        <v>1281.77</v>
      </c>
      <c r="R160" s="21">
        <v>1240.1400000000001</v>
      </c>
      <c r="S160" s="21">
        <v>1245.54</v>
      </c>
    </row>
    <row r="161" spans="1:19" x14ac:dyDescent="0.2">
      <c r="A161" s="9" t="s">
        <v>325</v>
      </c>
      <c r="B161" s="9" t="s">
        <v>326</v>
      </c>
      <c r="C161" s="9">
        <v>9</v>
      </c>
      <c r="D161" s="9">
        <v>0</v>
      </c>
      <c r="E161" s="9">
        <v>44</v>
      </c>
      <c r="F161" s="9">
        <f t="shared" si="2"/>
        <v>53</v>
      </c>
      <c r="H161" s="10">
        <v>185.86</v>
      </c>
      <c r="I161" s="10">
        <v>0</v>
      </c>
      <c r="J161" s="10">
        <v>136.66999999999999</v>
      </c>
      <c r="K161" s="10">
        <v>144.16</v>
      </c>
      <c r="M161" s="10">
        <v>257.70929000000001</v>
      </c>
      <c r="N161" s="10">
        <v>300.05255999999997</v>
      </c>
      <c r="O161" s="10">
        <v>293.60902000000004</v>
      </c>
      <c r="Q161" s="21">
        <v>1620.22</v>
      </c>
      <c r="R161" s="21">
        <v>2365.2800000000002</v>
      </c>
      <c r="S161" s="21">
        <v>2251.9</v>
      </c>
    </row>
    <row r="162" spans="1:19" x14ac:dyDescent="0.2">
      <c r="A162" s="9" t="s">
        <v>327</v>
      </c>
      <c r="B162" s="9" t="s">
        <v>328</v>
      </c>
      <c r="C162" s="9">
        <v>23</v>
      </c>
      <c r="D162" s="9">
        <v>1</v>
      </c>
      <c r="E162" s="9">
        <v>109</v>
      </c>
      <c r="F162" s="9">
        <f t="shared" si="2"/>
        <v>133</v>
      </c>
      <c r="H162" s="10">
        <v>114</v>
      </c>
      <c r="I162" s="10">
        <v>90</v>
      </c>
      <c r="J162" s="10">
        <v>122.12</v>
      </c>
      <c r="K162" s="10">
        <v>120.36</v>
      </c>
      <c r="M162" s="10">
        <v>191.46545999999998</v>
      </c>
      <c r="N162" s="10">
        <v>179.18831</v>
      </c>
      <c r="O162" s="10">
        <v>181.47523000000001</v>
      </c>
      <c r="Q162" s="21">
        <v>1839.41</v>
      </c>
      <c r="R162" s="21">
        <v>1698.12</v>
      </c>
      <c r="S162" s="21">
        <v>1724.44</v>
      </c>
    </row>
    <row r="163" spans="1:19" x14ac:dyDescent="0.2">
      <c r="A163" s="9" t="s">
        <v>329</v>
      </c>
      <c r="B163" s="9" t="s">
        <v>330</v>
      </c>
      <c r="C163" s="9">
        <v>2</v>
      </c>
      <c r="D163" s="9">
        <v>0</v>
      </c>
      <c r="E163" s="9">
        <v>25</v>
      </c>
      <c r="F163" s="9">
        <f t="shared" si="2"/>
        <v>27</v>
      </c>
      <c r="H163" s="10">
        <v>56.5</v>
      </c>
      <c r="I163" s="10">
        <v>0</v>
      </c>
      <c r="J163" s="10">
        <v>114.63</v>
      </c>
      <c r="K163" s="10">
        <v>109.09</v>
      </c>
      <c r="M163" s="10">
        <v>0</v>
      </c>
      <c r="N163" s="10">
        <v>218.50294</v>
      </c>
      <c r="O163" s="10">
        <v>206.61372</v>
      </c>
      <c r="Q163" s="21">
        <v>0</v>
      </c>
      <c r="R163" s="21">
        <v>1999.9</v>
      </c>
      <c r="S163" s="21">
        <v>1997.09</v>
      </c>
    </row>
    <row r="164" spans="1:19" x14ac:dyDescent="0.2">
      <c r="A164" s="9" t="s">
        <v>331</v>
      </c>
      <c r="B164" s="9" t="s">
        <v>332</v>
      </c>
      <c r="C164" s="9">
        <v>8</v>
      </c>
      <c r="D164" s="9">
        <v>0</v>
      </c>
      <c r="E164" s="9">
        <v>48</v>
      </c>
      <c r="F164" s="9">
        <f t="shared" si="2"/>
        <v>56</v>
      </c>
      <c r="H164" s="10">
        <v>86.71</v>
      </c>
      <c r="I164" s="10">
        <v>0</v>
      </c>
      <c r="J164" s="10">
        <v>93.44</v>
      </c>
      <c r="K164" s="10">
        <v>92.53</v>
      </c>
      <c r="M164" s="10">
        <v>68.302710000000005</v>
      </c>
      <c r="N164" s="10">
        <v>93.945039999999992</v>
      </c>
      <c r="O164" s="10">
        <v>90.4255</v>
      </c>
      <c r="Q164" s="21">
        <v>774.52</v>
      </c>
      <c r="R164" s="21">
        <v>1032.79</v>
      </c>
      <c r="S164" s="21">
        <v>997.34</v>
      </c>
    </row>
    <row r="165" spans="1:19" x14ac:dyDescent="0.2">
      <c r="A165" s="9" t="s">
        <v>333</v>
      </c>
      <c r="B165" s="9" t="s">
        <v>334</v>
      </c>
      <c r="C165" s="9">
        <v>15</v>
      </c>
      <c r="D165" s="9">
        <v>0</v>
      </c>
      <c r="E165" s="9">
        <v>543</v>
      </c>
      <c r="F165" s="9">
        <f t="shared" si="2"/>
        <v>558</v>
      </c>
      <c r="H165" s="10">
        <v>70.27</v>
      </c>
      <c r="I165" s="10">
        <v>0</v>
      </c>
      <c r="J165" s="10">
        <v>63.87</v>
      </c>
      <c r="K165" s="10">
        <v>64.069999999999993</v>
      </c>
      <c r="M165" s="10">
        <v>183.46379999999999</v>
      </c>
      <c r="N165" s="10">
        <v>118.6781</v>
      </c>
      <c r="O165" s="10">
        <v>120.95929</v>
      </c>
      <c r="Q165" s="21">
        <v>2830.87</v>
      </c>
      <c r="R165" s="21">
        <v>1876.31</v>
      </c>
      <c r="S165" s="21">
        <v>1909.92</v>
      </c>
    </row>
    <row r="166" spans="1:19" x14ac:dyDescent="0.2">
      <c r="A166" s="9" t="s">
        <v>335</v>
      </c>
      <c r="B166" s="9" t="s">
        <v>336</v>
      </c>
      <c r="C166" s="9">
        <v>0</v>
      </c>
      <c r="D166" s="9">
        <v>0</v>
      </c>
      <c r="E166" s="9">
        <v>39</v>
      </c>
      <c r="F166" s="9">
        <f t="shared" si="2"/>
        <v>39</v>
      </c>
      <c r="H166" s="10">
        <v>0</v>
      </c>
      <c r="I166" s="10">
        <v>0</v>
      </c>
      <c r="J166" s="10">
        <v>156.11000000000001</v>
      </c>
      <c r="K166" s="10">
        <v>156.11000000000001</v>
      </c>
      <c r="M166" s="10">
        <v>0</v>
      </c>
      <c r="N166" s="10">
        <v>224.18079</v>
      </c>
      <c r="O166" s="10">
        <v>224.18079</v>
      </c>
      <c r="Q166" s="21">
        <v>0</v>
      </c>
      <c r="R166" s="21">
        <v>1502.62</v>
      </c>
      <c r="S166" s="21">
        <v>1502.62</v>
      </c>
    </row>
    <row r="167" spans="1:19" x14ac:dyDescent="0.2">
      <c r="A167" s="9" t="s">
        <v>337</v>
      </c>
      <c r="B167" s="9" t="s">
        <v>338</v>
      </c>
      <c r="C167" s="9">
        <v>4</v>
      </c>
      <c r="D167" s="9">
        <v>0</v>
      </c>
      <c r="E167" s="9">
        <v>43</v>
      </c>
      <c r="F167" s="9">
        <f t="shared" si="2"/>
        <v>47</v>
      </c>
      <c r="H167" s="10">
        <v>213.33</v>
      </c>
      <c r="I167" s="10">
        <v>0</v>
      </c>
      <c r="J167" s="10">
        <v>143.79</v>
      </c>
      <c r="K167" s="10">
        <v>148.43</v>
      </c>
      <c r="M167" s="10">
        <v>203.33332999999999</v>
      </c>
      <c r="N167" s="10">
        <v>185.78976999999998</v>
      </c>
      <c r="O167" s="10">
        <v>186.95934</v>
      </c>
      <c r="Q167" s="21">
        <v>1206.1199999999999</v>
      </c>
      <c r="R167" s="21">
        <v>1453.09</v>
      </c>
      <c r="S167" s="21">
        <v>1436.63</v>
      </c>
    </row>
    <row r="168" spans="1:19" x14ac:dyDescent="0.2">
      <c r="A168" s="9" t="s">
        <v>339</v>
      </c>
      <c r="B168" s="9" t="s">
        <v>340</v>
      </c>
      <c r="C168" s="9">
        <v>9</v>
      </c>
      <c r="D168" s="9">
        <v>2</v>
      </c>
      <c r="E168" s="9">
        <v>33</v>
      </c>
      <c r="F168" s="9">
        <f t="shared" si="2"/>
        <v>44</v>
      </c>
      <c r="H168" s="10">
        <v>108.88</v>
      </c>
      <c r="I168" s="10">
        <v>71.5</v>
      </c>
      <c r="J168" s="10">
        <v>79.45</v>
      </c>
      <c r="K168" s="10">
        <v>85.08</v>
      </c>
      <c r="M168" s="10">
        <v>66</v>
      </c>
      <c r="N168" s="10">
        <v>56.39284</v>
      </c>
      <c r="O168" s="10">
        <v>58.721849999999996</v>
      </c>
      <c r="Q168" s="21">
        <v>663.83</v>
      </c>
      <c r="R168" s="21">
        <v>672.59</v>
      </c>
      <c r="S168" s="21">
        <v>670.47</v>
      </c>
    </row>
    <row r="169" spans="1:19" x14ac:dyDescent="0.2">
      <c r="A169" s="9" t="s">
        <v>341</v>
      </c>
      <c r="B169" s="9" t="s">
        <v>342</v>
      </c>
      <c r="C169" s="9">
        <v>4</v>
      </c>
      <c r="D169" s="9">
        <v>0</v>
      </c>
      <c r="E169" s="9">
        <v>33</v>
      </c>
      <c r="F169" s="9">
        <f t="shared" si="2"/>
        <v>37</v>
      </c>
      <c r="H169" s="10">
        <v>90</v>
      </c>
      <c r="I169" s="10">
        <v>0</v>
      </c>
      <c r="J169" s="10">
        <v>88.13</v>
      </c>
      <c r="K169" s="10">
        <v>88.29</v>
      </c>
      <c r="M169" s="10">
        <v>89.333330000000004</v>
      </c>
      <c r="N169" s="10">
        <v>84.329970000000003</v>
      </c>
      <c r="O169" s="10">
        <v>84.771439999999998</v>
      </c>
      <c r="Q169" s="21">
        <v>892.72</v>
      </c>
      <c r="R169" s="21">
        <v>1000.14</v>
      </c>
      <c r="S169" s="21">
        <v>990.66</v>
      </c>
    </row>
    <row r="170" spans="1:19" x14ac:dyDescent="0.2">
      <c r="A170" s="9" t="s">
        <v>343</v>
      </c>
      <c r="B170" s="9" t="s">
        <v>344</v>
      </c>
      <c r="C170" s="9">
        <v>3</v>
      </c>
      <c r="D170" s="9">
        <v>0</v>
      </c>
      <c r="E170" s="9">
        <v>41</v>
      </c>
      <c r="F170" s="9">
        <f t="shared" si="2"/>
        <v>44</v>
      </c>
      <c r="H170" s="10">
        <v>166</v>
      </c>
      <c r="I170" s="10">
        <v>0</v>
      </c>
      <c r="J170" s="10">
        <v>135.87</v>
      </c>
      <c r="K170" s="10">
        <v>138.02000000000001</v>
      </c>
      <c r="M170" s="10">
        <v>128.49367000000001</v>
      </c>
      <c r="N170" s="10">
        <v>151.98966000000001</v>
      </c>
      <c r="O170" s="10">
        <v>150.31136999999998</v>
      </c>
      <c r="Q170" s="21">
        <v>852.8</v>
      </c>
      <c r="R170" s="21">
        <v>1208.67</v>
      </c>
      <c r="S170" s="21">
        <v>1183.25</v>
      </c>
    </row>
    <row r="171" spans="1:19" x14ac:dyDescent="0.2">
      <c r="A171" s="9" t="s">
        <v>345</v>
      </c>
      <c r="B171" s="9" t="s">
        <v>346</v>
      </c>
      <c r="C171" s="9">
        <v>40</v>
      </c>
      <c r="D171" s="9">
        <v>1</v>
      </c>
      <c r="E171" s="9">
        <v>59</v>
      </c>
      <c r="F171" s="9">
        <f t="shared" si="2"/>
        <v>100</v>
      </c>
      <c r="H171" s="10">
        <v>94.17</v>
      </c>
      <c r="I171" s="10">
        <v>0</v>
      </c>
      <c r="J171" s="10">
        <v>96.56</v>
      </c>
      <c r="K171" s="10">
        <v>95.93</v>
      </c>
      <c r="M171" s="10">
        <v>156.11589000000001</v>
      </c>
      <c r="N171" s="10">
        <v>160.93549999999999</v>
      </c>
      <c r="O171" s="10">
        <v>159.64068</v>
      </c>
      <c r="Q171" s="21">
        <v>1579.91</v>
      </c>
      <c r="R171" s="21">
        <v>1613.21</v>
      </c>
      <c r="S171" s="21">
        <v>1604.26</v>
      </c>
    </row>
    <row r="172" spans="1:19" x14ac:dyDescent="0.2">
      <c r="A172" s="9" t="s">
        <v>347</v>
      </c>
      <c r="B172" s="9" t="s">
        <v>348</v>
      </c>
      <c r="C172" s="9">
        <v>4</v>
      </c>
      <c r="D172" s="9">
        <v>0</v>
      </c>
      <c r="E172" s="9">
        <v>19</v>
      </c>
      <c r="F172" s="9">
        <f t="shared" si="2"/>
        <v>23</v>
      </c>
      <c r="H172" s="10">
        <v>159</v>
      </c>
      <c r="I172" s="10">
        <v>0</v>
      </c>
      <c r="J172" s="10">
        <v>115.32</v>
      </c>
      <c r="K172" s="10">
        <v>121.28</v>
      </c>
      <c r="M172" s="10">
        <v>149.85695999999999</v>
      </c>
      <c r="N172" s="10">
        <v>120.20732000000001</v>
      </c>
      <c r="O172" s="10">
        <v>124.25045</v>
      </c>
      <c r="Q172" s="21">
        <v>1033.96</v>
      </c>
      <c r="R172" s="21">
        <v>1143.3900000000001</v>
      </c>
      <c r="S172" s="21">
        <v>1128.47</v>
      </c>
    </row>
    <row r="173" spans="1:19" x14ac:dyDescent="0.2">
      <c r="A173" s="9" t="s">
        <v>349</v>
      </c>
      <c r="B173" s="9" t="s">
        <v>350</v>
      </c>
      <c r="C173" s="9">
        <v>4</v>
      </c>
      <c r="D173" s="9">
        <v>0</v>
      </c>
      <c r="E173" s="9">
        <v>21</v>
      </c>
      <c r="F173" s="9">
        <f t="shared" si="2"/>
        <v>25</v>
      </c>
      <c r="H173" s="10">
        <v>79.25</v>
      </c>
      <c r="I173" s="10">
        <v>0</v>
      </c>
      <c r="J173" s="10">
        <v>100.42</v>
      </c>
      <c r="K173" s="10">
        <v>96.74</v>
      </c>
      <c r="M173" s="10">
        <v>158.625</v>
      </c>
      <c r="N173" s="10">
        <v>153.18807000000001</v>
      </c>
      <c r="O173" s="10">
        <v>154.22368</v>
      </c>
      <c r="Q173" s="21">
        <v>1986.19</v>
      </c>
      <c r="R173" s="21">
        <v>1454.88</v>
      </c>
      <c r="S173" s="21">
        <v>1556.08</v>
      </c>
    </row>
    <row r="174" spans="1:19" x14ac:dyDescent="0.2">
      <c r="A174" s="9" t="s">
        <v>351</v>
      </c>
      <c r="B174" s="9" t="s">
        <v>352</v>
      </c>
      <c r="C174" s="9">
        <v>0</v>
      </c>
      <c r="D174" s="9">
        <v>0</v>
      </c>
      <c r="E174" s="9">
        <v>13</v>
      </c>
      <c r="F174" s="9">
        <f t="shared" si="2"/>
        <v>13</v>
      </c>
      <c r="H174" s="10">
        <v>0</v>
      </c>
      <c r="I174" s="10">
        <v>0</v>
      </c>
      <c r="J174" s="10">
        <v>101.08</v>
      </c>
      <c r="K174" s="10">
        <v>101.08</v>
      </c>
      <c r="M174" s="10">
        <v>0</v>
      </c>
      <c r="N174" s="10">
        <v>115.79771000000001</v>
      </c>
      <c r="O174" s="10">
        <v>115.79771000000001</v>
      </c>
      <c r="Q174" s="21">
        <v>0</v>
      </c>
      <c r="R174" s="21">
        <v>1157.1400000000001</v>
      </c>
      <c r="S174" s="21">
        <v>1157.1400000000001</v>
      </c>
    </row>
    <row r="175" spans="1:19" x14ac:dyDescent="0.2">
      <c r="A175" s="9" t="s">
        <v>353</v>
      </c>
      <c r="B175" s="9" t="s">
        <v>354</v>
      </c>
      <c r="C175" s="9">
        <v>4</v>
      </c>
      <c r="D175" s="9">
        <v>0</v>
      </c>
      <c r="E175" s="9">
        <v>12</v>
      </c>
      <c r="F175" s="9">
        <f t="shared" si="2"/>
        <v>16</v>
      </c>
      <c r="H175" s="10">
        <v>80.33</v>
      </c>
      <c r="I175" s="10">
        <v>0</v>
      </c>
      <c r="J175" s="10">
        <v>117.2</v>
      </c>
      <c r="K175" s="10">
        <v>108.69</v>
      </c>
      <c r="M175" s="10">
        <v>35.953330000000001</v>
      </c>
      <c r="N175" s="10">
        <v>70.473309999999998</v>
      </c>
      <c r="O175" s="10">
        <v>62.507160000000006</v>
      </c>
      <c r="Q175" s="21">
        <v>486.71</v>
      </c>
      <c r="R175" s="21">
        <v>661.19</v>
      </c>
      <c r="S175" s="21">
        <v>620.92999999999995</v>
      </c>
    </row>
    <row r="176" spans="1:19" x14ac:dyDescent="0.2">
      <c r="A176" s="9" t="s">
        <v>355</v>
      </c>
      <c r="B176" s="9" t="s">
        <v>356</v>
      </c>
      <c r="C176" s="9">
        <v>5</v>
      </c>
      <c r="D176" s="9">
        <v>0</v>
      </c>
      <c r="E176" s="9">
        <v>34</v>
      </c>
      <c r="F176" s="9">
        <f t="shared" si="2"/>
        <v>39</v>
      </c>
      <c r="H176" s="10">
        <v>129.80000000000001</v>
      </c>
      <c r="I176" s="10">
        <v>0</v>
      </c>
      <c r="J176" s="10">
        <v>131.30000000000001</v>
      </c>
      <c r="K176" s="10">
        <v>131.1</v>
      </c>
      <c r="M176" s="10">
        <v>150</v>
      </c>
      <c r="N176" s="10">
        <v>189.88412</v>
      </c>
      <c r="O176" s="10">
        <v>184.63621000000001</v>
      </c>
      <c r="Q176" s="21">
        <v>1394.1</v>
      </c>
      <c r="R176" s="21">
        <v>1617.7</v>
      </c>
      <c r="S176" s="21">
        <v>1588.28</v>
      </c>
    </row>
    <row r="177" spans="1:19" x14ac:dyDescent="0.2">
      <c r="A177" s="9" t="s">
        <v>357</v>
      </c>
      <c r="B177" s="9" t="s">
        <v>358</v>
      </c>
      <c r="C177" s="9">
        <v>2</v>
      </c>
      <c r="D177" s="9">
        <v>0</v>
      </c>
      <c r="E177" s="9">
        <v>31</v>
      </c>
      <c r="F177" s="9">
        <f t="shared" si="2"/>
        <v>33</v>
      </c>
      <c r="H177" s="10">
        <v>188</v>
      </c>
      <c r="I177" s="10">
        <v>0</v>
      </c>
      <c r="J177" s="10">
        <v>94.63</v>
      </c>
      <c r="K177" s="10">
        <v>100.47</v>
      </c>
      <c r="M177" s="10">
        <v>0</v>
      </c>
      <c r="N177" s="10">
        <v>91.836789999999993</v>
      </c>
      <c r="O177" s="10">
        <v>106.88781</v>
      </c>
      <c r="Q177" s="21">
        <v>0</v>
      </c>
      <c r="R177" s="21">
        <v>955.93</v>
      </c>
      <c r="S177" s="21">
        <v>1005.27</v>
      </c>
    </row>
    <row r="178" spans="1:19" x14ac:dyDescent="0.2">
      <c r="A178" s="9" t="s">
        <v>359</v>
      </c>
      <c r="B178" s="9" t="s">
        <v>360</v>
      </c>
      <c r="C178" s="9">
        <v>2</v>
      </c>
      <c r="D178" s="9">
        <v>0</v>
      </c>
      <c r="E178" s="9">
        <v>29</v>
      </c>
      <c r="F178" s="9">
        <f t="shared" si="2"/>
        <v>31</v>
      </c>
      <c r="H178" s="10">
        <v>83</v>
      </c>
      <c r="I178" s="10">
        <v>0</v>
      </c>
      <c r="J178" s="10">
        <v>102.92</v>
      </c>
      <c r="K178" s="10">
        <v>101.5</v>
      </c>
      <c r="M178" s="10">
        <v>0</v>
      </c>
      <c r="N178" s="10">
        <v>115.67869</v>
      </c>
      <c r="O178" s="10">
        <v>114.07307</v>
      </c>
      <c r="Q178" s="21">
        <v>0</v>
      </c>
      <c r="R178" s="21">
        <v>1199.5</v>
      </c>
      <c r="S178" s="21">
        <v>1187.28</v>
      </c>
    </row>
    <row r="179" spans="1:19" x14ac:dyDescent="0.2">
      <c r="A179" s="9" t="s">
        <v>361</v>
      </c>
      <c r="B179" s="9" t="s">
        <v>362</v>
      </c>
      <c r="C179" s="9">
        <v>46</v>
      </c>
      <c r="D179" s="9">
        <v>0</v>
      </c>
      <c r="E179" s="9">
        <v>233</v>
      </c>
      <c r="F179" s="9">
        <f t="shared" si="2"/>
        <v>279</v>
      </c>
      <c r="H179" s="10">
        <v>119.72</v>
      </c>
      <c r="I179" s="10">
        <v>0</v>
      </c>
      <c r="J179" s="10">
        <v>104.11</v>
      </c>
      <c r="K179" s="10">
        <v>106.37</v>
      </c>
      <c r="M179" s="10">
        <v>449.38688000000002</v>
      </c>
      <c r="N179" s="10">
        <v>453.04591999999997</v>
      </c>
      <c r="O179" s="10">
        <v>452.51261999999997</v>
      </c>
      <c r="Q179" s="21">
        <v>4194.9399999999996</v>
      </c>
      <c r="R179" s="21">
        <v>4434.43</v>
      </c>
      <c r="S179" s="21">
        <v>4399.5200000000004</v>
      </c>
    </row>
    <row r="180" spans="1:19" x14ac:dyDescent="0.2">
      <c r="A180" s="9" t="s">
        <v>363</v>
      </c>
      <c r="B180" s="9" t="s">
        <v>364</v>
      </c>
      <c r="C180" s="9">
        <v>4</v>
      </c>
      <c r="D180" s="9">
        <v>0</v>
      </c>
      <c r="E180" s="9">
        <v>15</v>
      </c>
      <c r="F180" s="9">
        <f t="shared" si="2"/>
        <v>19</v>
      </c>
      <c r="H180" s="10">
        <v>76.33</v>
      </c>
      <c r="I180" s="10">
        <v>0</v>
      </c>
      <c r="J180" s="10">
        <v>102.36</v>
      </c>
      <c r="K180" s="10">
        <v>97.77</v>
      </c>
      <c r="M180" s="10">
        <v>85.766670000000005</v>
      </c>
      <c r="N180" s="10">
        <v>127.67224</v>
      </c>
      <c r="O180" s="10">
        <v>118.69247</v>
      </c>
      <c r="Q180" s="21">
        <v>1114.25</v>
      </c>
      <c r="R180" s="21">
        <v>1164.26</v>
      </c>
      <c r="S180" s="21">
        <v>1153.54</v>
      </c>
    </row>
    <row r="181" spans="1:19" x14ac:dyDescent="0.2">
      <c r="A181" s="9" t="s">
        <v>365</v>
      </c>
      <c r="B181" s="9" t="s">
        <v>366</v>
      </c>
      <c r="C181" s="9">
        <v>7</v>
      </c>
      <c r="D181" s="9">
        <v>0</v>
      </c>
      <c r="E181" s="9">
        <v>14</v>
      </c>
      <c r="F181" s="9">
        <f t="shared" si="2"/>
        <v>21</v>
      </c>
      <c r="H181" s="10">
        <v>93.29</v>
      </c>
      <c r="I181" s="10">
        <v>0</v>
      </c>
      <c r="J181" s="10">
        <v>69.849999999999994</v>
      </c>
      <c r="K181" s="10">
        <v>78.05</v>
      </c>
      <c r="M181" s="10">
        <v>91.085710000000006</v>
      </c>
      <c r="N181" s="10">
        <v>47.370660000000001</v>
      </c>
      <c r="O181" s="10">
        <v>63.476199999999999</v>
      </c>
      <c r="Q181" s="21">
        <v>967.03</v>
      </c>
      <c r="R181" s="21">
        <v>704.62</v>
      </c>
      <c r="S181" s="21">
        <v>801.3</v>
      </c>
    </row>
    <row r="182" spans="1:19" x14ac:dyDescent="0.2">
      <c r="A182" s="9" t="s">
        <v>367</v>
      </c>
      <c r="B182" s="9" t="s">
        <v>368</v>
      </c>
      <c r="C182" s="9">
        <v>10</v>
      </c>
      <c r="D182" s="9">
        <v>0</v>
      </c>
      <c r="E182" s="9">
        <v>12</v>
      </c>
      <c r="F182" s="9">
        <f t="shared" si="2"/>
        <v>22</v>
      </c>
      <c r="H182" s="10">
        <v>84.5</v>
      </c>
      <c r="I182" s="10">
        <v>0</v>
      </c>
      <c r="J182" s="10">
        <v>96.17</v>
      </c>
      <c r="K182" s="10">
        <v>91.5</v>
      </c>
      <c r="M182" s="10">
        <v>152.40789000000001</v>
      </c>
      <c r="N182" s="10">
        <v>141.93806000000001</v>
      </c>
      <c r="O182" s="10">
        <v>146.42513</v>
      </c>
      <c r="Q182" s="21">
        <v>3297.86</v>
      </c>
      <c r="R182" s="21">
        <v>1510.35</v>
      </c>
      <c r="S182" s="21">
        <v>2276.4299999999998</v>
      </c>
    </row>
    <row r="183" spans="1:19" x14ac:dyDescent="0.2">
      <c r="A183" s="9" t="s">
        <v>369</v>
      </c>
      <c r="B183" s="9" t="s">
        <v>370</v>
      </c>
      <c r="C183" s="9">
        <v>104</v>
      </c>
      <c r="D183" s="9">
        <v>0</v>
      </c>
      <c r="E183" s="9">
        <v>694</v>
      </c>
      <c r="F183" s="9">
        <f t="shared" si="2"/>
        <v>798</v>
      </c>
      <c r="H183" s="10">
        <v>95.14</v>
      </c>
      <c r="I183" s="10">
        <v>0</v>
      </c>
      <c r="J183" s="10">
        <v>83.95</v>
      </c>
      <c r="K183" s="10">
        <v>85.37</v>
      </c>
      <c r="M183" s="10">
        <v>132.96617999999998</v>
      </c>
      <c r="N183" s="10">
        <v>102.58007000000001</v>
      </c>
      <c r="O183" s="10">
        <v>106.49155999999999</v>
      </c>
      <c r="Q183" s="21">
        <v>1319.22</v>
      </c>
      <c r="R183" s="21">
        <v>1180.8499999999999</v>
      </c>
      <c r="S183" s="21">
        <v>1198.6600000000001</v>
      </c>
    </row>
    <row r="184" spans="1:19" x14ac:dyDescent="0.2">
      <c r="A184" s="9" t="s">
        <v>371</v>
      </c>
      <c r="B184" s="9" t="s">
        <v>372</v>
      </c>
      <c r="C184" s="9">
        <v>5</v>
      </c>
      <c r="D184" s="9">
        <v>2</v>
      </c>
      <c r="E184" s="9">
        <v>92</v>
      </c>
      <c r="F184" s="9">
        <f t="shared" si="2"/>
        <v>99</v>
      </c>
      <c r="H184" s="10">
        <v>69</v>
      </c>
      <c r="I184" s="10">
        <v>0</v>
      </c>
      <c r="J184" s="10">
        <v>105.5</v>
      </c>
      <c r="K184" s="10">
        <v>102.93</v>
      </c>
      <c r="M184" s="10">
        <v>56.354800000000004</v>
      </c>
      <c r="N184" s="10">
        <v>74.439639999999997</v>
      </c>
      <c r="O184" s="10">
        <v>72.907029999999992</v>
      </c>
      <c r="Q184" s="21">
        <v>827.87</v>
      </c>
      <c r="R184" s="21">
        <v>731.46</v>
      </c>
      <c r="S184" s="21">
        <v>739.63</v>
      </c>
    </row>
    <row r="185" spans="1:19" x14ac:dyDescent="0.2">
      <c r="A185" s="9" t="s">
        <v>373</v>
      </c>
      <c r="B185" s="9" t="s">
        <v>374</v>
      </c>
      <c r="C185" s="9">
        <v>16</v>
      </c>
      <c r="D185" s="9">
        <v>0</v>
      </c>
      <c r="E185" s="9">
        <v>57</v>
      </c>
      <c r="F185" s="9">
        <f t="shared" si="2"/>
        <v>73</v>
      </c>
      <c r="H185" s="10">
        <v>271.52999999999997</v>
      </c>
      <c r="I185" s="10">
        <v>0</v>
      </c>
      <c r="J185" s="10">
        <v>107.8</v>
      </c>
      <c r="K185" s="10">
        <v>142.88</v>
      </c>
      <c r="M185" s="10">
        <v>606.86353000000008</v>
      </c>
      <c r="N185" s="10">
        <v>295.46674999999999</v>
      </c>
      <c r="O185" s="10">
        <v>362.19463000000002</v>
      </c>
      <c r="Q185" s="21">
        <v>2282.61</v>
      </c>
      <c r="R185" s="21">
        <v>2944.68</v>
      </c>
      <c r="S185" s="21">
        <v>2802.81</v>
      </c>
    </row>
    <row r="186" spans="1:19" x14ac:dyDescent="0.2">
      <c r="A186" s="9" t="s">
        <v>375</v>
      </c>
      <c r="B186" s="9" t="s">
        <v>376</v>
      </c>
      <c r="C186" s="9">
        <v>120</v>
      </c>
      <c r="D186" s="9">
        <v>1</v>
      </c>
      <c r="E186" s="9">
        <v>1257</v>
      </c>
      <c r="F186" s="9">
        <f t="shared" si="2"/>
        <v>1378</v>
      </c>
      <c r="H186" s="10">
        <v>83.77</v>
      </c>
      <c r="I186" s="10">
        <v>58</v>
      </c>
      <c r="J186" s="10">
        <v>86.02</v>
      </c>
      <c r="K186" s="10">
        <v>85.82</v>
      </c>
      <c r="M186" s="10">
        <v>130.43521000000001</v>
      </c>
      <c r="N186" s="10">
        <v>123.35611</v>
      </c>
      <c r="O186" s="10">
        <v>123.9053</v>
      </c>
      <c r="Q186" s="21">
        <v>1657.68</v>
      </c>
      <c r="R186" s="21">
        <v>1471.01</v>
      </c>
      <c r="S186" s="21">
        <v>1485.49</v>
      </c>
    </row>
    <row r="187" spans="1:19" x14ac:dyDescent="0.2">
      <c r="A187" s="9" t="s">
        <v>377</v>
      </c>
      <c r="B187" s="9" t="s">
        <v>378</v>
      </c>
      <c r="C187" s="9">
        <v>14</v>
      </c>
      <c r="D187" s="9">
        <v>0</v>
      </c>
      <c r="E187" s="9">
        <v>34</v>
      </c>
      <c r="F187" s="9">
        <f t="shared" si="2"/>
        <v>48</v>
      </c>
      <c r="H187" s="10">
        <v>169</v>
      </c>
      <c r="I187" s="10">
        <v>0</v>
      </c>
      <c r="J187" s="10">
        <v>152.97</v>
      </c>
      <c r="K187" s="10">
        <v>157.6</v>
      </c>
      <c r="M187" s="10">
        <v>384.91189000000003</v>
      </c>
      <c r="N187" s="10">
        <v>359.10177000000004</v>
      </c>
      <c r="O187" s="10">
        <v>366.55803000000003</v>
      </c>
      <c r="Q187" s="21">
        <v>2474.63</v>
      </c>
      <c r="R187" s="21">
        <v>2573.69</v>
      </c>
      <c r="S187" s="21">
        <v>2545.0700000000002</v>
      </c>
    </row>
    <row r="188" spans="1:19" x14ac:dyDescent="0.2">
      <c r="A188" s="9" t="s">
        <v>379</v>
      </c>
      <c r="B188" s="9" t="s">
        <v>380</v>
      </c>
      <c r="C188" s="9">
        <v>9</v>
      </c>
      <c r="D188" s="9">
        <v>0</v>
      </c>
      <c r="E188" s="9">
        <v>20</v>
      </c>
      <c r="F188" s="9">
        <f t="shared" si="2"/>
        <v>29</v>
      </c>
      <c r="H188" s="10">
        <v>100.13</v>
      </c>
      <c r="I188" s="10">
        <v>0</v>
      </c>
      <c r="J188" s="10">
        <v>95.72</v>
      </c>
      <c r="K188" s="10">
        <v>97.08</v>
      </c>
      <c r="M188" s="10">
        <v>91.035749999999993</v>
      </c>
      <c r="N188" s="10">
        <v>142.30578</v>
      </c>
      <c r="O188" s="10">
        <v>126.53039</v>
      </c>
      <c r="Q188" s="21">
        <v>1158.76</v>
      </c>
      <c r="R188" s="21">
        <v>1614.29</v>
      </c>
      <c r="S188" s="21">
        <v>1474.13</v>
      </c>
    </row>
    <row r="189" spans="1:19" x14ac:dyDescent="0.2">
      <c r="A189" s="9" t="s">
        <v>381</v>
      </c>
      <c r="B189" s="9" t="s">
        <v>382</v>
      </c>
      <c r="C189" s="9">
        <v>18</v>
      </c>
      <c r="D189" s="9">
        <v>0</v>
      </c>
      <c r="E189" s="9">
        <v>91</v>
      </c>
      <c r="F189" s="9">
        <f t="shared" si="2"/>
        <v>109</v>
      </c>
      <c r="H189" s="10">
        <v>92</v>
      </c>
      <c r="I189" s="10">
        <v>0</v>
      </c>
      <c r="J189" s="10">
        <v>99.73</v>
      </c>
      <c r="K189" s="10">
        <v>98.53</v>
      </c>
      <c r="M189" s="10">
        <v>91.669929999999994</v>
      </c>
      <c r="N189" s="10">
        <v>100.98183</v>
      </c>
      <c r="O189" s="10">
        <v>99.52685000000001</v>
      </c>
      <c r="Q189" s="21">
        <v>1034.1199999999999</v>
      </c>
      <c r="R189" s="21">
        <v>1057.08</v>
      </c>
      <c r="S189" s="21">
        <v>1053.49</v>
      </c>
    </row>
    <row r="190" spans="1:19" x14ac:dyDescent="0.2">
      <c r="A190" s="9" t="s">
        <v>383</v>
      </c>
      <c r="B190" s="9" t="s">
        <v>384</v>
      </c>
      <c r="C190" s="9">
        <v>3</v>
      </c>
      <c r="D190" s="9">
        <v>0</v>
      </c>
      <c r="E190" s="9">
        <v>60</v>
      </c>
      <c r="F190" s="9">
        <f t="shared" si="2"/>
        <v>63</v>
      </c>
      <c r="H190" s="10">
        <v>70.67</v>
      </c>
      <c r="I190" s="10">
        <v>0</v>
      </c>
      <c r="J190" s="10">
        <v>106.45</v>
      </c>
      <c r="K190" s="10">
        <v>104.6</v>
      </c>
      <c r="M190" s="10">
        <v>77.666669999999996</v>
      </c>
      <c r="N190" s="10">
        <v>97.03652000000001</v>
      </c>
      <c r="O190" s="10">
        <v>96.034630000000007</v>
      </c>
      <c r="Q190" s="21">
        <v>1142.67</v>
      </c>
      <c r="R190" s="21">
        <v>1031.18</v>
      </c>
      <c r="S190" s="21">
        <v>1036.95</v>
      </c>
    </row>
    <row r="191" spans="1:19" x14ac:dyDescent="0.2">
      <c r="A191" s="9" t="s">
        <v>385</v>
      </c>
      <c r="B191" s="9" t="s">
        <v>386</v>
      </c>
      <c r="C191" s="9">
        <v>21</v>
      </c>
      <c r="D191" s="9">
        <v>3</v>
      </c>
      <c r="E191" s="9">
        <v>127</v>
      </c>
      <c r="F191" s="9">
        <f t="shared" si="2"/>
        <v>151</v>
      </c>
      <c r="H191" s="10">
        <v>89.58</v>
      </c>
      <c r="I191" s="10">
        <v>82.33</v>
      </c>
      <c r="J191" s="10">
        <v>84.69</v>
      </c>
      <c r="K191" s="10">
        <v>85.31</v>
      </c>
      <c r="M191" s="10">
        <v>113.57071999999999</v>
      </c>
      <c r="N191" s="10">
        <v>126.02081</v>
      </c>
      <c r="O191" s="10">
        <v>124.29695</v>
      </c>
      <c r="Q191" s="21">
        <v>1396.79</v>
      </c>
      <c r="R191" s="21">
        <v>1521.34</v>
      </c>
      <c r="S191" s="21">
        <v>1504.09</v>
      </c>
    </row>
    <row r="192" spans="1:19" x14ac:dyDescent="0.2">
      <c r="A192" s="9" t="s">
        <v>387</v>
      </c>
      <c r="B192" s="9" t="s">
        <v>388</v>
      </c>
      <c r="C192" s="9">
        <v>5</v>
      </c>
      <c r="D192" s="9">
        <v>0</v>
      </c>
      <c r="E192" s="9">
        <v>24</v>
      </c>
      <c r="F192" s="9">
        <f t="shared" si="2"/>
        <v>29</v>
      </c>
      <c r="H192" s="10">
        <v>92</v>
      </c>
      <c r="I192" s="10">
        <v>0</v>
      </c>
      <c r="J192" s="10">
        <v>134.65</v>
      </c>
      <c r="K192" s="10">
        <v>127.03</v>
      </c>
      <c r="M192" s="10">
        <v>166.23508999999999</v>
      </c>
      <c r="N192" s="10">
        <v>165.88410000000002</v>
      </c>
      <c r="O192" s="10">
        <v>165.94677999999999</v>
      </c>
      <c r="Q192" s="21">
        <v>1842.31</v>
      </c>
      <c r="R192" s="21">
        <v>1379.49</v>
      </c>
      <c r="S192" s="21">
        <v>1462.14</v>
      </c>
    </row>
    <row r="193" spans="1:19" x14ac:dyDescent="0.2">
      <c r="A193" s="9" t="s">
        <v>389</v>
      </c>
      <c r="B193" s="9" t="s">
        <v>390</v>
      </c>
      <c r="C193" s="9">
        <v>20</v>
      </c>
      <c r="D193" s="9">
        <v>0</v>
      </c>
      <c r="E193" s="9">
        <v>117</v>
      </c>
      <c r="F193" s="9">
        <f t="shared" si="2"/>
        <v>137</v>
      </c>
      <c r="H193" s="10">
        <v>72.3</v>
      </c>
      <c r="I193" s="10">
        <v>0</v>
      </c>
      <c r="J193" s="10">
        <v>75.53</v>
      </c>
      <c r="K193" s="10">
        <v>75.040000000000006</v>
      </c>
      <c r="M193" s="10">
        <v>111.985</v>
      </c>
      <c r="N193" s="10">
        <v>120.27193</v>
      </c>
      <c r="O193" s="10">
        <v>118.99702000000001</v>
      </c>
      <c r="Q193" s="21">
        <v>1708.04</v>
      </c>
      <c r="R193" s="21">
        <v>1662.82</v>
      </c>
      <c r="S193" s="21">
        <v>1669.78</v>
      </c>
    </row>
    <row r="194" spans="1:19" x14ac:dyDescent="0.2">
      <c r="A194" s="9" t="s">
        <v>391</v>
      </c>
      <c r="B194" s="9" t="s">
        <v>392</v>
      </c>
      <c r="C194" s="9">
        <v>3</v>
      </c>
      <c r="D194" s="9">
        <v>0</v>
      </c>
      <c r="E194" s="9">
        <v>135</v>
      </c>
      <c r="F194" s="9">
        <f t="shared" si="2"/>
        <v>138</v>
      </c>
      <c r="H194" s="10">
        <v>87</v>
      </c>
      <c r="I194" s="10">
        <v>0</v>
      </c>
      <c r="J194" s="10">
        <v>93.8</v>
      </c>
      <c r="K194" s="10">
        <v>93.6</v>
      </c>
      <c r="M194" s="10">
        <v>111.86775</v>
      </c>
      <c r="N194" s="10">
        <v>72.604839999999996</v>
      </c>
      <c r="O194" s="10">
        <v>73.759630000000001</v>
      </c>
      <c r="Q194" s="21">
        <v>1272.77</v>
      </c>
      <c r="R194" s="21">
        <v>731.48</v>
      </c>
      <c r="S194" s="21">
        <v>747.4</v>
      </c>
    </row>
    <row r="195" spans="1:19" x14ac:dyDescent="0.2">
      <c r="A195" s="1" t="s">
        <v>393</v>
      </c>
      <c r="B195" s="1" t="s">
        <v>394</v>
      </c>
      <c r="C195" s="9">
        <v>2</v>
      </c>
      <c r="D195" s="9">
        <v>0</v>
      </c>
      <c r="E195" s="9">
        <v>78</v>
      </c>
      <c r="F195" s="9">
        <f t="shared" si="2"/>
        <v>80</v>
      </c>
      <c r="H195" s="10">
        <v>108.5</v>
      </c>
      <c r="I195" s="10">
        <v>0</v>
      </c>
      <c r="J195" s="10">
        <v>85.83</v>
      </c>
      <c r="K195" s="10">
        <v>86.5</v>
      </c>
      <c r="M195" s="10">
        <v>0</v>
      </c>
      <c r="N195" s="10">
        <v>188.57981000000001</v>
      </c>
      <c r="O195" s="10">
        <v>187.60768999999999</v>
      </c>
      <c r="Q195" s="21">
        <v>0</v>
      </c>
      <c r="R195" s="21">
        <v>2197.15</v>
      </c>
      <c r="S195" s="21">
        <v>2178.59</v>
      </c>
    </row>
    <row r="196" spans="1:19" x14ac:dyDescent="0.2">
      <c r="A196" s="1" t="s">
        <v>395</v>
      </c>
      <c r="B196" s="1" t="s">
        <v>396</v>
      </c>
      <c r="C196" s="9">
        <v>0</v>
      </c>
      <c r="D196" s="9">
        <v>0</v>
      </c>
      <c r="E196" s="9">
        <v>46</v>
      </c>
      <c r="F196" s="9">
        <f t="shared" si="2"/>
        <v>46</v>
      </c>
      <c r="H196" s="10">
        <v>0</v>
      </c>
      <c r="I196" s="10">
        <v>0</v>
      </c>
      <c r="J196" s="10">
        <v>102.41</v>
      </c>
      <c r="K196" s="10">
        <v>102.41</v>
      </c>
      <c r="M196" s="10">
        <v>0</v>
      </c>
      <c r="N196" s="10">
        <v>53.33502</v>
      </c>
      <c r="O196" s="10">
        <v>53.33502</v>
      </c>
      <c r="Q196" s="21">
        <v>0</v>
      </c>
      <c r="R196" s="21">
        <v>542.64</v>
      </c>
      <c r="S196" s="21">
        <v>542.64</v>
      </c>
    </row>
    <row r="197" spans="1:19" x14ac:dyDescent="0.2">
      <c r="A197" s="1" t="s">
        <v>397</v>
      </c>
      <c r="B197" s="1" t="s">
        <v>398</v>
      </c>
      <c r="C197" s="9">
        <v>8</v>
      </c>
      <c r="D197" s="9">
        <v>1</v>
      </c>
      <c r="E197" s="9">
        <v>21</v>
      </c>
      <c r="F197" s="9">
        <f t="shared" si="2"/>
        <v>30</v>
      </c>
      <c r="H197" s="10">
        <v>92.5</v>
      </c>
      <c r="I197" s="10">
        <v>65</v>
      </c>
      <c r="J197" s="10">
        <v>93.07</v>
      </c>
      <c r="K197" s="10">
        <v>91.57</v>
      </c>
      <c r="M197" s="10">
        <v>58.725960000000001</v>
      </c>
      <c r="N197" s="10">
        <v>51.703569999999999</v>
      </c>
      <c r="O197" s="10">
        <v>53.810290000000002</v>
      </c>
      <c r="Q197" s="21">
        <v>678.31</v>
      </c>
      <c r="R197" s="21">
        <v>580.78</v>
      </c>
      <c r="S197" s="21">
        <v>610.04</v>
      </c>
    </row>
    <row r="198" spans="1:19" x14ac:dyDescent="0.2">
      <c r="A198" s="1" t="s">
        <v>399</v>
      </c>
      <c r="B198" s="1" t="s">
        <v>400</v>
      </c>
      <c r="C198" s="9">
        <v>1</v>
      </c>
      <c r="D198" s="9">
        <v>0</v>
      </c>
      <c r="E198" s="9">
        <v>34</v>
      </c>
      <c r="F198" s="9">
        <f t="shared" ref="F198:F216" si="3">SUM(C198:E198)</f>
        <v>35</v>
      </c>
      <c r="H198" s="10">
        <v>78</v>
      </c>
      <c r="I198" s="10">
        <v>0</v>
      </c>
      <c r="J198" s="10">
        <v>128.22999999999999</v>
      </c>
      <c r="K198" s="10">
        <v>126.66</v>
      </c>
      <c r="M198" s="10">
        <v>0</v>
      </c>
      <c r="N198" s="10">
        <v>172.64874</v>
      </c>
      <c r="O198" s="10">
        <v>172.87846999999999</v>
      </c>
      <c r="Q198" s="21">
        <v>0</v>
      </c>
      <c r="R198" s="21">
        <v>1567.05</v>
      </c>
      <c r="S198" s="21">
        <v>1590.19</v>
      </c>
    </row>
    <row r="199" spans="1:19" x14ac:dyDescent="0.2">
      <c r="A199" s="1" t="s">
        <v>401</v>
      </c>
      <c r="B199" s="1" t="s">
        <v>402</v>
      </c>
      <c r="C199" s="9">
        <v>17</v>
      </c>
      <c r="D199" s="9">
        <v>0</v>
      </c>
      <c r="E199" s="9">
        <v>40</v>
      </c>
      <c r="F199" s="9">
        <f t="shared" si="3"/>
        <v>57</v>
      </c>
      <c r="H199" s="10">
        <v>163.66999999999999</v>
      </c>
      <c r="I199" s="10">
        <v>0</v>
      </c>
      <c r="J199" s="10">
        <v>126.81</v>
      </c>
      <c r="K199" s="10">
        <v>137.44</v>
      </c>
      <c r="M199" s="10">
        <v>194.66667000000001</v>
      </c>
      <c r="N199" s="10">
        <v>170.89193</v>
      </c>
      <c r="O199" s="10">
        <v>177.75003000000001</v>
      </c>
      <c r="Q199" s="21">
        <v>1311.81</v>
      </c>
      <c r="R199" s="21">
        <v>1582.38</v>
      </c>
      <c r="S199" s="21">
        <v>1504.33</v>
      </c>
    </row>
    <row r="200" spans="1:19" x14ac:dyDescent="0.2">
      <c r="A200" s="1" t="s">
        <v>403</v>
      </c>
      <c r="B200" s="1" t="s">
        <v>404</v>
      </c>
      <c r="C200" s="9">
        <v>2</v>
      </c>
      <c r="D200" s="9">
        <v>0</v>
      </c>
      <c r="E200" s="9">
        <v>52</v>
      </c>
      <c r="F200" s="9">
        <f t="shared" si="3"/>
        <v>54</v>
      </c>
      <c r="H200" s="10">
        <v>190</v>
      </c>
      <c r="I200" s="10">
        <v>0</v>
      </c>
      <c r="J200" s="10">
        <v>80.63</v>
      </c>
      <c r="K200" s="10">
        <v>82.73</v>
      </c>
      <c r="M200" s="10">
        <v>0</v>
      </c>
      <c r="N200" s="10">
        <v>97.465450000000004</v>
      </c>
      <c r="O200" s="10">
        <v>99.148809999999997</v>
      </c>
      <c r="Q200" s="21">
        <v>0</v>
      </c>
      <c r="R200" s="21">
        <v>1146.98</v>
      </c>
      <c r="S200" s="21">
        <v>1143.6500000000001</v>
      </c>
    </row>
    <row r="201" spans="1:19" x14ac:dyDescent="0.2">
      <c r="A201" s="1" t="s">
        <v>405</v>
      </c>
      <c r="B201" s="1" t="s">
        <v>406</v>
      </c>
      <c r="C201" s="9">
        <v>5</v>
      </c>
      <c r="D201" s="9">
        <v>0</v>
      </c>
      <c r="E201" s="9">
        <v>21</v>
      </c>
      <c r="F201" s="9">
        <f t="shared" si="3"/>
        <v>26</v>
      </c>
      <c r="H201" s="10">
        <v>113.25</v>
      </c>
      <c r="I201" s="10">
        <v>0</v>
      </c>
      <c r="J201" s="10">
        <v>67.760000000000005</v>
      </c>
      <c r="K201" s="10">
        <v>76.42</v>
      </c>
      <c r="M201" s="10">
        <v>112.5</v>
      </c>
      <c r="N201" s="10">
        <v>91.070999999999998</v>
      </c>
      <c r="O201" s="10">
        <v>95.582369999999997</v>
      </c>
      <c r="Q201" s="21">
        <v>1006.68</v>
      </c>
      <c r="R201" s="21">
        <v>1386.01</v>
      </c>
      <c r="S201" s="21">
        <v>1306.1500000000001</v>
      </c>
    </row>
    <row r="202" spans="1:19" x14ac:dyDescent="0.2">
      <c r="A202" s="1" t="s">
        <v>407</v>
      </c>
      <c r="B202" s="1" t="s">
        <v>408</v>
      </c>
      <c r="C202" s="9">
        <v>28</v>
      </c>
      <c r="D202" s="9">
        <v>0</v>
      </c>
      <c r="E202" s="9">
        <v>328</v>
      </c>
      <c r="F202" s="9">
        <f t="shared" si="3"/>
        <v>356</v>
      </c>
      <c r="H202" s="10">
        <v>76.36</v>
      </c>
      <c r="I202" s="10">
        <v>0</v>
      </c>
      <c r="J202" s="10">
        <v>90.38</v>
      </c>
      <c r="K202" s="10">
        <v>89.32</v>
      </c>
      <c r="M202" s="10">
        <v>63.463269999999994</v>
      </c>
      <c r="N202" s="10">
        <v>104.76597</v>
      </c>
      <c r="O202" s="10">
        <v>101.68750999999999</v>
      </c>
      <c r="Q202" s="21">
        <v>755.51</v>
      </c>
      <c r="R202" s="21">
        <v>1233.19</v>
      </c>
      <c r="S202" s="21">
        <v>1197.5899999999999</v>
      </c>
    </row>
    <row r="203" spans="1:19" x14ac:dyDescent="0.2">
      <c r="A203" s="1" t="s">
        <v>409</v>
      </c>
      <c r="B203" s="1" t="s">
        <v>410</v>
      </c>
      <c r="C203" s="9">
        <v>29</v>
      </c>
      <c r="D203" s="9">
        <v>2</v>
      </c>
      <c r="E203" s="9">
        <v>217</v>
      </c>
      <c r="F203" s="9">
        <f t="shared" si="3"/>
        <v>248</v>
      </c>
      <c r="H203" s="10">
        <v>107</v>
      </c>
      <c r="I203" s="10">
        <v>73</v>
      </c>
      <c r="J203" s="10">
        <v>82.77</v>
      </c>
      <c r="K203" s="10">
        <v>85.57</v>
      </c>
      <c r="M203" s="10">
        <v>123.03185000000001</v>
      </c>
      <c r="N203" s="10">
        <v>109.27</v>
      </c>
      <c r="O203" s="10">
        <v>111.02269</v>
      </c>
      <c r="Q203" s="21">
        <v>1214.32</v>
      </c>
      <c r="R203" s="21">
        <v>1360.99</v>
      </c>
      <c r="S203" s="21">
        <v>1342.31</v>
      </c>
    </row>
    <row r="204" spans="1:19" x14ac:dyDescent="0.2">
      <c r="A204" s="1" t="s">
        <v>411</v>
      </c>
      <c r="B204" s="1" t="s">
        <v>412</v>
      </c>
      <c r="C204" s="9">
        <v>9</v>
      </c>
      <c r="D204" s="9">
        <v>0</v>
      </c>
      <c r="E204" s="9">
        <v>34</v>
      </c>
      <c r="F204" s="9">
        <f t="shared" si="3"/>
        <v>43</v>
      </c>
      <c r="H204" s="10">
        <v>121.29</v>
      </c>
      <c r="I204" s="10">
        <v>0</v>
      </c>
      <c r="J204" s="10">
        <v>116.31</v>
      </c>
      <c r="K204" s="10">
        <v>117.28</v>
      </c>
      <c r="M204" s="10">
        <v>100.58199999999999</v>
      </c>
      <c r="N204" s="10">
        <v>119.82394000000001</v>
      </c>
      <c r="O204" s="10">
        <v>116.08244999999999</v>
      </c>
      <c r="Q204" s="21">
        <v>1060.6500000000001</v>
      </c>
      <c r="R204" s="21">
        <v>1094.92</v>
      </c>
      <c r="S204" s="21">
        <v>1088.26</v>
      </c>
    </row>
    <row r="205" spans="1:19" x14ac:dyDescent="0.2">
      <c r="A205" s="1" t="s">
        <v>413</v>
      </c>
      <c r="B205" s="1" t="s">
        <v>414</v>
      </c>
      <c r="C205" s="9">
        <v>4</v>
      </c>
      <c r="D205" s="9">
        <v>0</v>
      </c>
      <c r="E205" s="9">
        <v>64</v>
      </c>
      <c r="F205" s="9">
        <f t="shared" si="3"/>
        <v>68</v>
      </c>
      <c r="H205" s="10">
        <v>90.5</v>
      </c>
      <c r="I205" s="10">
        <v>0</v>
      </c>
      <c r="J205" s="10">
        <v>85.32</v>
      </c>
      <c r="K205" s="10">
        <v>85.66</v>
      </c>
      <c r="M205" s="10">
        <v>104.97743</v>
      </c>
      <c r="N205" s="10">
        <v>136.09601999999998</v>
      </c>
      <c r="O205" s="10">
        <v>134.02145000000002</v>
      </c>
      <c r="Q205" s="21">
        <v>1228.51</v>
      </c>
      <c r="R205" s="21">
        <v>1586.13</v>
      </c>
      <c r="S205" s="21">
        <v>1562.29</v>
      </c>
    </row>
    <row r="206" spans="1:19" x14ac:dyDescent="0.2">
      <c r="A206" s="1" t="s">
        <v>415</v>
      </c>
      <c r="B206" s="1" t="s">
        <v>416</v>
      </c>
      <c r="C206" s="9">
        <v>4</v>
      </c>
      <c r="D206" s="9">
        <v>0</v>
      </c>
      <c r="E206" s="9">
        <v>294</v>
      </c>
      <c r="F206" s="9">
        <f t="shared" si="3"/>
        <v>298</v>
      </c>
      <c r="H206" s="10">
        <v>83</v>
      </c>
      <c r="I206" s="10">
        <v>0</v>
      </c>
      <c r="J206" s="10">
        <v>83.48</v>
      </c>
      <c r="K206" s="10">
        <v>83.47</v>
      </c>
      <c r="M206" s="10">
        <v>179.3749</v>
      </c>
      <c r="N206" s="10">
        <v>175.00869</v>
      </c>
      <c r="O206" s="10">
        <v>175.07019</v>
      </c>
      <c r="Q206" s="21">
        <v>2157.54</v>
      </c>
      <c r="R206" s="21">
        <v>2159.8000000000002</v>
      </c>
      <c r="S206" s="21">
        <v>2159.77</v>
      </c>
    </row>
    <row r="207" spans="1:19" x14ac:dyDescent="0.2">
      <c r="A207" s="1" t="s">
        <v>417</v>
      </c>
      <c r="B207" s="1" t="s">
        <v>418</v>
      </c>
      <c r="C207" s="9">
        <v>0</v>
      </c>
      <c r="D207" s="9">
        <v>0</v>
      </c>
      <c r="E207" s="9">
        <v>47</v>
      </c>
      <c r="F207" s="9">
        <f t="shared" si="3"/>
        <v>47</v>
      </c>
      <c r="H207" s="10">
        <v>0</v>
      </c>
      <c r="I207" s="10">
        <v>0</v>
      </c>
      <c r="J207" s="10">
        <v>169.3</v>
      </c>
      <c r="K207" s="10">
        <v>169.3</v>
      </c>
      <c r="M207" s="10">
        <v>0</v>
      </c>
      <c r="N207" s="10">
        <v>266.64312999999999</v>
      </c>
      <c r="O207" s="10">
        <v>266.64312999999999</v>
      </c>
      <c r="Q207" s="21">
        <v>0</v>
      </c>
      <c r="R207" s="21">
        <v>1581.94</v>
      </c>
      <c r="S207" s="21">
        <v>1581.94</v>
      </c>
    </row>
    <row r="208" spans="1:19" x14ac:dyDescent="0.2">
      <c r="A208" s="1" t="s">
        <v>419</v>
      </c>
      <c r="B208" s="1" t="s">
        <v>420</v>
      </c>
      <c r="C208" s="9">
        <v>1</v>
      </c>
      <c r="D208" s="9">
        <v>0</v>
      </c>
      <c r="E208" s="9">
        <v>12</v>
      </c>
      <c r="F208" s="9">
        <f t="shared" si="3"/>
        <v>13</v>
      </c>
      <c r="H208" s="10">
        <v>291</v>
      </c>
      <c r="I208" s="10">
        <v>0</v>
      </c>
      <c r="J208" s="10">
        <v>134.6</v>
      </c>
      <c r="K208" s="10">
        <v>148.82</v>
      </c>
      <c r="M208" s="10">
        <v>0</v>
      </c>
      <c r="N208" s="10">
        <v>139.56049999999999</v>
      </c>
      <c r="O208" s="10">
        <v>153.23681999999999</v>
      </c>
      <c r="Q208" s="21">
        <v>0</v>
      </c>
      <c r="R208" s="21">
        <v>1012.71</v>
      </c>
      <c r="S208" s="21">
        <v>1011.24</v>
      </c>
    </row>
    <row r="209" spans="1:19" x14ac:dyDescent="0.2">
      <c r="A209" s="1" t="s">
        <v>421</v>
      </c>
      <c r="B209" s="1" t="s">
        <v>422</v>
      </c>
      <c r="C209" s="9">
        <v>20</v>
      </c>
      <c r="D209" s="9">
        <v>9</v>
      </c>
      <c r="E209" s="9">
        <v>129</v>
      </c>
      <c r="F209" s="9">
        <f t="shared" si="3"/>
        <v>158</v>
      </c>
      <c r="H209" s="10">
        <v>97.58</v>
      </c>
      <c r="I209" s="10">
        <v>84.29</v>
      </c>
      <c r="J209" s="10">
        <v>104.59</v>
      </c>
      <c r="K209" s="10">
        <v>102.73</v>
      </c>
      <c r="M209" s="10">
        <v>137.71579</v>
      </c>
      <c r="N209" s="10">
        <v>129.32499000000001</v>
      </c>
      <c r="O209" s="10">
        <v>130.62112999999999</v>
      </c>
      <c r="Q209" s="21">
        <v>1528.51</v>
      </c>
      <c r="R209" s="21">
        <v>1322.4</v>
      </c>
      <c r="S209" s="21">
        <v>1354.24</v>
      </c>
    </row>
    <row r="210" spans="1:19" x14ac:dyDescent="0.2">
      <c r="A210" s="1" t="s">
        <v>423</v>
      </c>
      <c r="B210" s="1" t="s">
        <v>424</v>
      </c>
      <c r="C210" s="9">
        <v>5</v>
      </c>
      <c r="D210" s="9">
        <v>0</v>
      </c>
      <c r="E210" s="9">
        <v>30</v>
      </c>
      <c r="F210" s="9">
        <f t="shared" si="3"/>
        <v>35</v>
      </c>
      <c r="H210" s="10">
        <v>147.80000000000001</v>
      </c>
      <c r="I210" s="10">
        <v>0</v>
      </c>
      <c r="J210" s="10">
        <v>77.81</v>
      </c>
      <c r="K210" s="10">
        <v>89.1</v>
      </c>
      <c r="M210" s="10">
        <v>73.319999999999993</v>
      </c>
      <c r="N210" s="10">
        <v>58.591999999999999</v>
      </c>
      <c r="O210" s="10">
        <v>60.967480000000002</v>
      </c>
      <c r="Q210" s="21">
        <v>640.05999999999995</v>
      </c>
      <c r="R210" s="21">
        <v>759.76</v>
      </c>
      <c r="S210" s="21">
        <v>740.45</v>
      </c>
    </row>
    <row r="211" spans="1:19" x14ac:dyDescent="0.2">
      <c r="A211" s="1" t="s">
        <v>425</v>
      </c>
      <c r="B211" s="1" t="s">
        <v>426</v>
      </c>
      <c r="C211" s="9">
        <v>5</v>
      </c>
      <c r="D211" s="9">
        <v>0</v>
      </c>
      <c r="E211" s="9">
        <v>21</v>
      </c>
      <c r="F211" s="9">
        <f t="shared" si="3"/>
        <v>26</v>
      </c>
      <c r="H211" s="10">
        <v>124.25</v>
      </c>
      <c r="I211" s="10">
        <v>0</v>
      </c>
      <c r="J211" s="10">
        <v>154.88</v>
      </c>
      <c r="K211" s="10">
        <v>148.75</v>
      </c>
      <c r="M211" s="10">
        <v>183.25</v>
      </c>
      <c r="N211" s="10">
        <v>261.27030999999999</v>
      </c>
      <c r="O211" s="10">
        <v>245.66624999999999</v>
      </c>
      <c r="Q211" s="21">
        <v>1694.07</v>
      </c>
      <c r="R211" s="21">
        <v>1813.31</v>
      </c>
      <c r="S211" s="21">
        <v>1789.46</v>
      </c>
    </row>
    <row r="212" spans="1:19" x14ac:dyDescent="0.2">
      <c r="A212" s="1" t="s">
        <v>427</v>
      </c>
      <c r="B212" s="1" t="s">
        <v>428</v>
      </c>
      <c r="C212" s="9">
        <v>23</v>
      </c>
      <c r="D212" s="9">
        <v>0</v>
      </c>
      <c r="E212" s="9">
        <v>499</v>
      </c>
      <c r="F212" s="9">
        <f t="shared" si="3"/>
        <v>522</v>
      </c>
      <c r="H212" s="10">
        <v>77.67</v>
      </c>
      <c r="I212" s="10">
        <v>0</v>
      </c>
      <c r="J212" s="10">
        <v>84.76</v>
      </c>
      <c r="K212" s="10">
        <v>84.43</v>
      </c>
      <c r="M212" s="10">
        <v>164.81177</v>
      </c>
      <c r="N212" s="10">
        <v>150.69144</v>
      </c>
      <c r="O212" s="10">
        <v>151.35629999999998</v>
      </c>
      <c r="Q212" s="21">
        <v>2584.9</v>
      </c>
      <c r="R212" s="21">
        <v>2196.8200000000002</v>
      </c>
      <c r="S212" s="21">
        <v>2215.09</v>
      </c>
    </row>
    <row r="213" spans="1:19" x14ac:dyDescent="0.2">
      <c r="A213" s="1" t="s">
        <v>429</v>
      </c>
      <c r="B213" s="1" t="s">
        <v>430</v>
      </c>
      <c r="C213" s="9">
        <v>0</v>
      </c>
      <c r="D213" s="9">
        <v>0</v>
      </c>
      <c r="E213" s="9">
        <v>184</v>
      </c>
      <c r="F213" s="9">
        <f t="shared" si="3"/>
        <v>184</v>
      </c>
      <c r="H213" s="10">
        <v>0</v>
      </c>
      <c r="I213" s="10">
        <v>0</v>
      </c>
      <c r="J213" s="10">
        <v>69.78</v>
      </c>
      <c r="K213" s="10">
        <v>69.78</v>
      </c>
      <c r="M213" s="10">
        <v>0</v>
      </c>
      <c r="N213" s="10">
        <v>129.0967</v>
      </c>
      <c r="O213" s="10">
        <v>129.0967</v>
      </c>
      <c r="Q213" s="21">
        <v>0</v>
      </c>
      <c r="R213" s="21">
        <v>1978.32</v>
      </c>
      <c r="S213" s="21">
        <v>1978.32</v>
      </c>
    </row>
    <row r="214" spans="1:19" x14ac:dyDescent="0.2">
      <c r="A214" s="1" t="s">
        <v>431</v>
      </c>
      <c r="B214" s="1" t="s">
        <v>432</v>
      </c>
      <c r="C214" s="9">
        <v>1</v>
      </c>
      <c r="D214" s="9">
        <v>0</v>
      </c>
      <c r="E214" s="9">
        <v>41</v>
      </c>
      <c r="F214" s="9">
        <f t="shared" si="3"/>
        <v>42</v>
      </c>
      <c r="H214" s="10">
        <v>80</v>
      </c>
      <c r="I214" s="10">
        <v>0</v>
      </c>
      <c r="J214" s="10">
        <v>135.22999999999999</v>
      </c>
      <c r="K214" s="10">
        <v>133.85</v>
      </c>
      <c r="M214" s="10">
        <v>0</v>
      </c>
      <c r="N214" s="10">
        <v>289.12422999999995</v>
      </c>
      <c r="O214" s="10">
        <v>283.64612</v>
      </c>
      <c r="Q214" s="21">
        <v>0</v>
      </c>
      <c r="R214" s="21">
        <v>2265.6799999999998</v>
      </c>
      <c r="S214" s="21">
        <v>2230.91</v>
      </c>
    </row>
    <row r="215" spans="1:19" x14ac:dyDescent="0.2">
      <c r="A215" s="1" t="s">
        <v>433</v>
      </c>
      <c r="B215" s="1" t="s">
        <v>434</v>
      </c>
      <c r="C215" s="9">
        <v>4</v>
      </c>
      <c r="D215" s="9">
        <v>0</v>
      </c>
      <c r="E215" s="9">
        <v>89</v>
      </c>
      <c r="F215" s="9">
        <f t="shared" si="3"/>
        <v>93</v>
      </c>
      <c r="H215" s="10">
        <v>92.75</v>
      </c>
      <c r="I215" s="10">
        <v>0</v>
      </c>
      <c r="J215" s="10">
        <v>104.13</v>
      </c>
      <c r="K215" s="10">
        <v>103.62</v>
      </c>
      <c r="M215" s="10">
        <v>210.75024999999999</v>
      </c>
      <c r="N215" s="10">
        <v>281.18422999999996</v>
      </c>
      <c r="O215" s="10">
        <v>278.05383</v>
      </c>
      <c r="Q215" s="21">
        <v>2258.91</v>
      </c>
      <c r="R215" s="21">
        <v>2872.55</v>
      </c>
      <c r="S215" s="21">
        <v>2845.28</v>
      </c>
    </row>
    <row r="216" spans="1:19" s="19" customFormat="1" x14ac:dyDescent="0.2">
      <c r="A216" s="15"/>
      <c r="B216" s="16" t="s">
        <v>11</v>
      </c>
      <c r="C216" s="15">
        <v>650</v>
      </c>
      <c r="D216" s="15">
        <v>8</v>
      </c>
      <c r="E216" s="15">
        <v>2746</v>
      </c>
      <c r="F216" s="17">
        <f t="shared" si="3"/>
        <v>3404</v>
      </c>
      <c r="G216" s="15"/>
      <c r="H216" s="18">
        <v>129.05000000000001</v>
      </c>
      <c r="I216" s="18">
        <v>83.5</v>
      </c>
      <c r="J216" s="18">
        <v>119.01</v>
      </c>
      <c r="K216" s="18">
        <v>120.87</v>
      </c>
      <c r="L216" s="15"/>
      <c r="M216" s="18">
        <v>161.68504000000001</v>
      </c>
      <c r="N216" s="18">
        <v>152.92732999999998</v>
      </c>
      <c r="O216" s="18">
        <v>154.62727999999998</v>
      </c>
      <c r="P216" s="15"/>
      <c r="Q216" s="20">
        <v>1305.75</v>
      </c>
      <c r="R216" s="20">
        <v>1381.23</v>
      </c>
      <c r="S216" s="20">
        <v>1366.58</v>
      </c>
    </row>
    <row r="218" spans="1:19" x14ac:dyDescent="0.2">
      <c r="B218" s="14" t="s">
        <v>12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8"/>
  <sheetViews>
    <sheetView zoomScaleNormal="85" workbookViewId="0"/>
  </sheetViews>
  <sheetFormatPr defaultColWidth="11.42578125" defaultRowHeight="12" x14ac:dyDescent="0.2"/>
  <cols>
    <col min="1" max="1" width="11.42578125" style="1" customWidth="1"/>
    <col min="2" max="2" width="35.7109375" style="1" customWidth="1"/>
    <col min="3" max="6" width="10.7109375" style="1" customWidth="1"/>
    <col min="7" max="7" width="2.7109375" style="1" customWidth="1"/>
    <col min="8" max="11" width="10.7109375" style="1" customWidth="1"/>
    <col min="12" max="12" width="2.7109375" style="1" customWidth="1"/>
    <col min="13" max="15" width="10.7109375" style="10" customWidth="1"/>
    <col min="16" max="16" width="2.7109375" style="1" customWidth="1"/>
    <col min="17" max="19" width="10.7109375" style="10" customWidth="1"/>
    <col min="20" max="16384" width="11.42578125" style="1"/>
  </cols>
  <sheetData>
    <row r="1" spans="1:19" ht="15" x14ac:dyDescent="0.25">
      <c r="A1" s="2" t="s">
        <v>0</v>
      </c>
    </row>
    <row r="2" spans="1:19" ht="12.75" x14ac:dyDescent="0.2">
      <c r="A2" s="13" t="s">
        <v>14</v>
      </c>
    </row>
    <row r="4" spans="1:19" ht="13.5" x14ac:dyDescent="0.2">
      <c r="C4" s="4" t="s">
        <v>7</v>
      </c>
      <c r="D4" s="5"/>
      <c r="E4" s="5"/>
      <c r="F4" s="5"/>
      <c r="H4" s="11" t="s">
        <v>13</v>
      </c>
      <c r="I4" s="5"/>
      <c r="J4" s="5"/>
      <c r="K4" s="5"/>
      <c r="M4" s="11" t="s">
        <v>9</v>
      </c>
      <c r="N4" s="11"/>
      <c r="O4" s="11"/>
      <c r="Q4" s="11" t="s">
        <v>10</v>
      </c>
      <c r="R4" s="11"/>
      <c r="S4" s="11"/>
    </row>
    <row r="5" spans="1:19" s="3" customFormat="1" ht="24" x14ac:dyDescent="0.2">
      <c r="A5" s="6" t="s">
        <v>1</v>
      </c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/>
      <c r="H5" s="7" t="s">
        <v>3</v>
      </c>
      <c r="I5" s="7" t="s">
        <v>4</v>
      </c>
      <c r="J5" s="7" t="s">
        <v>5</v>
      </c>
      <c r="K5" s="7" t="s">
        <v>6</v>
      </c>
      <c r="L5" s="8"/>
      <c r="M5" s="12" t="s">
        <v>8</v>
      </c>
      <c r="N5" s="12" t="s">
        <v>5</v>
      </c>
      <c r="O5" s="12" t="s">
        <v>6</v>
      </c>
      <c r="P5" s="8"/>
      <c r="Q5" s="12" t="s">
        <v>8</v>
      </c>
      <c r="R5" s="12" t="s">
        <v>5</v>
      </c>
      <c r="S5" s="12" t="s">
        <v>6</v>
      </c>
    </row>
    <row r="6" spans="1:19" x14ac:dyDescent="0.2">
      <c r="A6" s="9" t="s">
        <v>15</v>
      </c>
      <c r="B6" s="9" t="s">
        <v>16</v>
      </c>
      <c r="C6" s="9">
        <v>0</v>
      </c>
      <c r="D6" s="9">
        <v>0</v>
      </c>
      <c r="E6" s="9">
        <v>28</v>
      </c>
      <c r="F6" s="9">
        <f t="shared" ref="F6:F69" si="0">SUM(C6:E6)</f>
        <v>28</v>
      </c>
      <c r="H6" s="10">
        <v>0</v>
      </c>
      <c r="I6" s="10">
        <v>0</v>
      </c>
      <c r="J6" s="10">
        <v>137</v>
      </c>
      <c r="K6" s="10">
        <v>137</v>
      </c>
      <c r="M6" s="10">
        <v>0</v>
      </c>
      <c r="N6" s="10">
        <v>196.29614999999998</v>
      </c>
      <c r="O6" s="10">
        <v>196.29614999999998</v>
      </c>
      <c r="Q6" s="10">
        <v>0</v>
      </c>
      <c r="R6" s="10">
        <v>1487.33</v>
      </c>
      <c r="S6" s="10">
        <v>1487.33</v>
      </c>
    </row>
    <row r="7" spans="1:19" x14ac:dyDescent="0.2">
      <c r="A7" s="9" t="s">
        <v>17</v>
      </c>
      <c r="B7" s="9" t="s">
        <v>18</v>
      </c>
      <c r="C7" s="9">
        <v>0</v>
      </c>
      <c r="D7" s="9">
        <v>0</v>
      </c>
      <c r="E7" s="9">
        <v>3</v>
      </c>
      <c r="F7" s="9">
        <f t="shared" si="0"/>
        <v>3</v>
      </c>
      <c r="H7" s="10">
        <v>0</v>
      </c>
      <c r="I7" s="10">
        <v>0</v>
      </c>
      <c r="J7" s="10">
        <v>73</v>
      </c>
      <c r="K7" s="10">
        <v>73</v>
      </c>
      <c r="M7" s="10">
        <v>0</v>
      </c>
      <c r="N7" s="10">
        <v>22.25</v>
      </c>
      <c r="O7" s="10">
        <v>22.25</v>
      </c>
      <c r="Q7" s="10">
        <v>0</v>
      </c>
      <c r="R7" s="10">
        <v>315.91000000000003</v>
      </c>
      <c r="S7" s="10">
        <v>315.91000000000003</v>
      </c>
    </row>
    <row r="8" spans="1:19" x14ac:dyDescent="0.2">
      <c r="A8" s="9" t="s">
        <v>19</v>
      </c>
      <c r="B8" s="9" t="s">
        <v>20</v>
      </c>
      <c r="C8" s="9">
        <v>3</v>
      </c>
      <c r="D8" s="9">
        <v>1</v>
      </c>
      <c r="E8" s="9">
        <v>27</v>
      </c>
      <c r="F8" s="9">
        <f t="shared" si="0"/>
        <v>31</v>
      </c>
      <c r="H8" s="10">
        <v>202</v>
      </c>
      <c r="I8" s="10">
        <v>97</v>
      </c>
      <c r="J8" s="10">
        <v>81.3</v>
      </c>
      <c r="K8" s="10">
        <v>91.19</v>
      </c>
      <c r="M8" s="10">
        <v>99</v>
      </c>
      <c r="N8" s="10">
        <v>77.840890000000002</v>
      </c>
      <c r="O8" s="10">
        <v>79.533619999999999</v>
      </c>
      <c r="Q8" s="10">
        <v>710.5</v>
      </c>
      <c r="R8" s="10">
        <v>1104.83</v>
      </c>
      <c r="S8" s="10">
        <v>1073.28</v>
      </c>
    </row>
    <row r="9" spans="1:19" x14ac:dyDescent="0.2">
      <c r="A9" s="9" t="s">
        <v>21</v>
      </c>
      <c r="B9" s="9" t="s">
        <v>22</v>
      </c>
      <c r="C9" s="9">
        <v>11</v>
      </c>
      <c r="D9" s="9">
        <v>0</v>
      </c>
      <c r="E9" s="9">
        <v>25</v>
      </c>
      <c r="F9" s="9">
        <f t="shared" si="0"/>
        <v>36</v>
      </c>
      <c r="H9" s="10">
        <v>152.5</v>
      </c>
      <c r="I9" s="10">
        <v>0</v>
      </c>
      <c r="J9" s="10">
        <v>88.57</v>
      </c>
      <c r="K9" s="10">
        <v>96.56</v>
      </c>
      <c r="M9" s="10">
        <v>103.35</v>
      </c>
      <c r="N9" s="10">
        <v>47.742100000000001</v>
      </c>
      <c r="O9" s="10">
        <v>51.449289999999998</v>
      </c>
      <c r="Q9" s="10">
        <v>416.73</v>
      </c>
      <c r="R9" s="10">
        <v>548.41999999999996</v>
      </c>
      <c r="S9" s="10">
        <v>539.64</v>
      </c>
    </row>
    <row r="10" spans="1:19" x14ac:dyDescent="0.2">
      <c r="A10" s="9" t="s">
        <v>23</v>
      </c>
      <c r="B10" s="9" t="s">
        <v>24</v>
      </c>
      <c r="C10" s="9">
        <v>1</v>
      </c>
      <c r="D10" s="9">
        <v>0</v>
      </c>
      <c r="E10" s="9">
        <v>1</v>
      </c>
      <c r="F10" s="9">
        <f t="shared" si="0"/>
        <v>2</v>
      </c>
      <c r="H10" s="10">
        <v>0</v>
      </c>
      <c r="I10" s="10">
        <v>0</v>
      </c>
      <c r="J10" s="10">
        <v>0</v>
      </c>
      <c r="K10" s="10">
        <v>0</v>
      </c>
      <c r="M10" s="10">
        <v>0</v>
      </c>
      <c r="N10" s="10">
        <v>0</v>
      </c>
      <c r="O10" s="10">
        <v>0</v>
      </c>
      <c r="Q10" s="10">
        <v>0</v>
      </c>
      <c r="R10" s="10">
        <v>0</v>
      </c>
      <c r="S10" s="10">
        <v>0</v>
      </c>
    </row>
    <row r="11" spans="1:19" x14ac:dyDescent="0.2">
      <c r="A11" s="9" t="s">
        <v>25</v>
      </c>
      <c r="B11" s="9" t="s">
        <v>26</v>
      </c>
      <c r="C11" s="9">
        <v>3</v>
      </c>
      <c r="D11" s="9">
        <v>0</v>
      </c>
      <c r="E11" s="9">
        <v>20</v>
      </c>
      <c r="F11" s="9">
        <f t="shared" si="0"/>
        <v>23</v>
      </c>
      <c r="H11" s="10">
        <v>246</v>
      </c>
      <c r="I11" s="10">
        <v>0</v>
      </c>
      <c r="J11" s="10">
        <v>183.11</v>
      </c>
      <c r="K11" s="10">
        <v>189.1</v>
      </c>
      <c r="M11" s="10">
        <v>730.9</v>
      </c>
      <c r="N11" s="10">
        <v>474.29185999999999</v>
      </c>
      <c r="O11" s="10">
        <v>498.73460999999998</v>
      </c>
      <c r="Q11" s="10">
        <v>3136.3</v>
      </c>
      <c r="R11" s="10">
        <v>2740.62</v>
      </c>
      <c r="S11" s="10">
        <v>2778.3</v>
      </c>
    </row>
    <row r="12" spans="1:19" x14ac:dyDescent="0.2">
      <c r="A12" s="9" t="s">
        <v>27</v>
      </c>
      <c r="B12" s="9" t="s">
        <v>28</v>
      </c>
      <c r="C12" s="9">
        <v>5</v>
      </c>
      <c r="D12" s="9">
        <v>0</v>
      </c>
      <c r="E12" s="9">
        <v>9</v>
      </c>
      <c r="F12" s="9">
        <f t="shared" si="0"/>
        <v>14</v>
      </c>
      <c r="H12" s="10">
        <v>197</v>
      </c>
      <c r="I12" s="10">
        <v>0</v>
      </c>
      <c r="J12" s="10">
        <v>161</v>
      </c>
      <c r="K12" s="10">
        <v>171.8</v>
      </c>
      <c r="M12" s="10">
        <v>64.716669999999993</v>
      </c>
      <c r="N12" s="10">
        <v>86.100009999999997</v>
      </c>
      <c r="O12" s="10">
        <v>78.08126</v>
      </c>
      <c r="Q12" s="10">
        <v>322.8</v>
      </c>
      <c r="R12" s="10">
        <v>534.23</v>
      </c>
      <c r="S12" s="10">
        <v>454.94</v>
      </c>
    </row>
    <row r="13" spans="1:19" x14ac:dyDescent="0.2">
      <c r="A13" s="9" t="s">
        <v>29</v>
      </c>
      <c r="B13" s="9" t="s">
        <v>30</v>
      </c>
      <c r="C13" s="9">
        <v>2</v>
      </c>
      <c r="D13" s="9">
        <v>0</v>
      </c>
      <c r="E13" s="9">
        <v>8</v>
      </c>
      <c r="F13" s="9">
        <f t="shared" si="0"/>
        <v>10</v>
      </c>
      <c r="H13" s="10">
        <v>101.5</v>
      </c>
      <c r="I13" s="10">
        <v>0</v>
      </c>
      <c r="J13" s="10">
        <v>222</v>
      </c>
      <c r="K13" s="10">
        <v>195.22</v>
      </c>
      <c r="M13" s="10">
        <v>0</v>
      </c>
      <c r="N13" s="10">
        <v>211.96472</v>
      </c>
      <c r="O13" s="10">
        <v>172.72354000000001</v>
      </c>
      <c r="Q13" s="10">
        <v>0</v>
      </c>
      <c r="R13" s="10">
        <v>884.7</v>
      </c>
      <c r="S13" s="10">
        <v>799</v>
      </c>
    </row>
    <row r="14" spans="1:19" x14ac:dyDescent="0.2">
      <c r="A14" s="9" t="s">
        <v>31</v>
      </c>
      <c r="B14" s="9" t="s">
        <v>32</v>
      </c>
      <c r="C14" s="9">
        <v>9</v>
      </c>
      <c r="D14" s="9">
        <v>0</v>
      </c>
      <c r="E14" s="9">
        <v>26</v>
      </c>
      <c r="F14" s="9">
        <f t="shared" si="0"/>
        <v>35</v>
      </c>
      <c r="H14" s="10">
        <v>156.66999999999999</v>
      </c>
      <c r="I14" s="10">
        <v>0</v>
      </c>
      <c r="J14" s="10">
        <v>119.76</v>
      </c>
      <c r="K14" s="10">
        <v>130.83000000000001</v>
      </c>
      <c r="M14" s="10">
        <v>184.30793</v>
      </c>
      <c r="N14" s="10">
        <v>219.60526000000002</v>
      </c>
      <c r="O14" s="10">
        <v>208.25969000000001</v>
      </c>
      <c r="Q14" s="10">
        <v>1332.19</v>
      </c>
      <c r="R14" s="10">
        <v>2180.65</v>
      </c>
      <c r="S14" s="10">
        <v>1907.93</v>
      </c>
    </row>
    <row r="15" spans="1:19" x14ac:dyDescent="0.2">
      <c r="A15" s="9" t="s">
        <v>33</v>
      </c>
      <c r="B15" s="9" t="s">
        <v>34</v>
      </c>
      <c r="C15" s="9">
        <v>1</v>
      </c>
      <c r="D15" s="9">
        <v>0</v>
      </c>
      <c r="E15" s="9">
        <v>31</v>
      </c>
      <c r="F15" s="9">
        <f t="shared" si="0"/>
        <v>32</v>
      </c>
      <c r="H15" s="10">
        <v>84</v>
      </c>
      <c r="I15" s="10">
        <v>0</v>
      </c>
      <c r="J15" s="10">
        <v>95.23</v>
      </c>
      <c r="K15" s="10">
        <v>94.88</v>
      </c>
      <c r="M15" s="10">
        <v>0</v>
      </c>
      <c r="N15" s="10">
        <v>168.80034000000001</v>
      </c>
      <c r="O15" s="10">
        <v>165.58742999999998</v>
      </c>
      <c r="Q15" s="10">
        <v>0</v>
      </c>
      <c r="R15" s="10">
        <v>1725.29</v>
      </c>
      <c r="S15" s="10">
        <v>1696.21</v>
      </c>
    </row>
    <row r="16" spans="1:19" x14ac:dyDescent="0.2">
      <c r="A16" s="9" t="s">
        <v>35</v>
      </c>
      <c r="B16" s="9" t="s">
        <v>36</v>
      </c>
      <c r="C16" s="9">
        <v>8</v>
      </c>
      <c r="D16" s="9">
        <v>0</v>
      </c>
      <c r="E16" s="9">
        <v>21</v>
      </c>
      <c r="F16" s="9">
        <f t="shared" si="0"/>
        <v>29</v>
      </c>
      <c r="H16" s="10">
        <v>141.5</v>
      </c>
      <c r="I16" s="10">
        <v>0</v>
      </c>
      <c r="J16" s="10">
        <v>207.58</v>
      </c>
      <c r="K16" s="10">
        <v>188</v>
      </c>
      <c r="M16" s="10">
        <v>206.5625</v>
      </c>
      <c r="N16" s="10">
        <v>260.76467000000002</v>
      </c>
      <c r="O16" s="10">
        <v>244.70477</v>
      </c>
      <c r="Q16" s="10">
        <v>1616.98</v>
      </c>
      <c r="R16" s="10">
        <v>1356.19</v>
      </c>
      <c r="S16" s="10">
        <v>1433.46</v>
      </c>
    </row>
    <row r="17" spans="1:19" x14ac:dyDescent="0.2">
      <c r="A17" s="9" t="s">
        <v>37</v>
      </c>
      <c r="B17" s="9" t="s">
        <v>38</v>
      </c>
      <c r="C17" s="9">
        <v>0</v>
      </c>
      <c r="D17" s="9">
        <v>0</v>
      </c>
      <c r="E17" s="9">
        <v>66</v>
      </c>
      <c r="F17" s="9">
        <f t="shared" si="0"/>
        <v>66</v>
      </c>
      <c r="H17" s="10">
        <v>0</v>
      </c>
      <c r="I17" s="10">
        <v>0</v>
      </c>
      <c r="J17" s="10">
        <v>86.64</v>
      </c>
      <c r="K17" s="10">
        <v>86.64</v>
      </c>
      <c r="M17" s="10">
        <v>0</v>
      </c>
      <c r="N17" s="10">
        <v>49.455660000000002</v>
      </c>
      <c r="O17" s="10">
        <v>49.455660000000002</v>
      </c>
      <c r="Q17" s="10">
        <v>0</v>
      </c>
      <c r="R17" s="10">
        <v>550.48</v>
      </c>
      <c r="S17" s="10">
        <v>550.48</v>
      </c>
    </row>
    <row r="18" spans="1:19" x14ac:dyDescent="0.2">
      <c r="A18" s="9" t="s">
        <v>39</v>
      </c>
      <c r="B18" s="9" t="s">
        <v>40</v>
      </c>
      <c r="C18" s="9">
        <v>0</v>
      </c>
      <c r="D18" s="9">
        <v>0</v>
      </c>
      <c r="E18" s="9">
        <v>10</v>
      </c>
      <c r="F18" s="9">
        <f t="shared" si="0"/>
        <v>10</v>
      </c>
      <c r="H18" s="10">
        <v>0</v>
      </c>
      <c r="I18" s="10">
        <v>0</v>
      </c>
      <c r="J18" s="10">
        <v>133.71</v>
      </c>
      <c r="K18" s="10">
        <v>133.71</v>
      </c>
      <c r="M18" s="10">
        <v>0</v>
      </c>
      <c r="N18" s="10">
        <v>128.07516000000001</v>
      </c>
      <c r="O18" s="10">
        <v>128.07516000000001</v>
      </c>
      <c r="Q18" s="10">
        <v>0</v>
      </c>
      <c r="R18" s="10">
        <v>968.27</v>
      </c>
      <c r="S18" s="10">
        <v>968.27</v>
      </c>
    </row>
    <row r="19" spans="1:19" x14ac:dyDescent="0.2">
      <c r="A19" s="9" t="s">
        <v>41</v>
      </c>
      <c r="B19" s="9" t="s">
        <v>42</v>
      </c>
      <c r="C19" s="9">
        <v>1</v>
      </c>
      <c r="D19" s="9">
        <v>0</v>
      </c>
      <c r="E19" s="9">
        <v>8</v>
      </c>
      <c r="F19" s="9">
        <f t="shared" si="0"/>
        <v>9</v>
      </c>
      <c r="H19" s="10">
        <v>74</v>
      </c>
      <c r="I19" s="10">
        <v>0</v>
      </c>
      <c r="J19" s="10">
        <v>76.33</v>
      </c>
      <c r="K19" s="10">
        <v>76</v>
      </c>
      <c r="M19" s="10">
        <v>0</v>
      </c>
      <c r="N19" s="10">
        <v>77.3</v>
      </c>
      <c r="O19" s="10">
        <v>70.916669999999996</v>
      </c>
      <c r="Q19" s="10">
        <v>0</v>
      </c>
      <c r="R19" s="10">
        <v>1005.68</v>
      </c>
      <c r="S19" s="10">
        <v>925.9</v>
      </c>
    </row>
    <row r="20" spans="1:19" x14ac:dyDescent="0.2">
      <c r="A20" s="9" t="s">
        <v>43</v>
      </c>
      <c r="B20" s="9" t="s">
        <v>44</v>
      </c>
      <c r="C20" s="9">
        <v>0</v>
      </c>
      <c r="D20" s="9">
        <v>0</v>
      </c>
      <c r="E20" s="9">
        <v>5</v>
      </c>
      <c r="F20" s="9">
        <f t="shared" si="0"/>
        <v>5</v>
      </c>
      <c r="H20" s="10">
        <v>0</v>
      </c>
      <c r="I20" s="10">
        <v>0</v>
      </c>
      <c r="J20" s="10">
        <v>71.5</v>
      </c>
      <c r="K20" s="10">
        <v>71.5</v>
      </c>
      <c r="M20" s="10">
        <v>0</v>
      </c>
      <c r="N20" s="10">
        <v>60.75</v>
      </c>
      <c r="O20" s="10">
        <v>60.75</v>
      </c>
      <c r="Q20" s="10">
        <v>0</v>
      </c>
      <c r="R20" s="10">
        <v>851.42</v>
      </c>
      <c r="S20" s="10">
        <v>851.42</v>
      </c>
    </row>
    <row r="21" spans="1:19" x14ac:dyDescent="0.2">
      <c r="A21" s="9" t="s">
        <v>45</v>
      </c>
      <c r="B21" s="9" t="s">
        <v>46</v>
      </c>
      <c r="C21" s="9">
        <v>45</v>
      </c>
      <c r="D21" s="9">
        <v>0</v>
      </c>
      <c r="E21" s="9">
        <v>44</v>
      </c>
      <c r="F21" s="9">
        <f t="shared" si="0"/>
        <v>89</v>
      </c>
      <c r="H21" s="10">
        <v>105.86</v>
      </c>
      <c r="I21" s="10">
        <v>0</v>
      </c>
      <c r="J21" s="10">
        <v>107.3</v>
      </c>
      <c r="K21" s="10">
        <v>106.55</v>
      </c>
      <c r="M21" s="10">
        <v>237.00032999999999</v>
      </c>
      <c r="N21" s="10">
        <v>217.75032000000002</v>
      </c>
      <c r="O21" s="10">
        <v>227.96946</v>
      </c>
      <c r="Q21" s="10">
        <v>2660.27</v>
      </c>
      <c r="R21" s="10">
        <v>1883.02</v>
      </c>
      <c r="S21" s="10">
        <v>2295.63</v>
      </c>
    </row>
    <row r="22" spans="1:19" x14ac:dyDescent="0.2">
      <c r="A22" s="9" t="s">
        <v>47</v>
      </c>
      <c r="B22" s="9" t="s">
        <v>48</v>
      </c>
      <c r="C22" s="9">
        <v>4</v>
      </c>
      <c r="D22" s="9">
        <v>0</v>
      </c>
      <c r="E22" s="9">
        <v>21</v>
      </c>
      <c r="F22" s="9">
        <f t="shared" si="0"/>
        <v>25</v>
      </c>
      <c r="H22" s="10">
        <v>122.75</v>
      </c>
      <c r="I22" s="10">
        <v>0</v>
      </c>
      <c r="J22" s="10">
        <v>118</v>
      </c>
      <c r="K22" s="10">
        <v>118.79</v>
      </c>
      <c r="M22" s="10">
        <v>164.625</v>
      </c>
      <c r="N22" s="10">
        <v>177.45599999999999</v>
      </c>
      <c r="O22" s="10">
        <v>175.3175</v>
      </c>
      <c r="Q22" s="10">
        <v>1450.47</v>
      </c>
      <c r="R22" s="10">
        <v>1512.26</v>
      </c>
      <c r="S22" s="10">
        <v>1501.96</v>
      </c>
    </row>
    <row r="23" spans="1:19" x14ac:dyDescent="0.2">
      <c r="A23" s="9" t="s">
        <v>49</v>
      </c>
      <c r="B23" s="9" t="s">
        <v>50</v>
      </c>
      <c r="C23" s="9">
        <v>3</v>
      </c>
      <c r="D23" s="9">
        <v>0</v>
      </c>
      <c r="E23" s="9">
        <v>19</v>
      </c>
      <c r="F23" s="9">
        <f t="shared" si="0"/>
        <v>22</v>
      </c>
      <c r="H23" s="10">
        <v>0</v>
      </c>
      <c r="I23" s="10">
        <v>0</v>
      </c>
      <c r="J23" s="10">
        <v>112.88</v>
      </c>
      <c r="K23" s="10">
        <v>112.88</v>
      </c>
      <c r="M23" s="10">
        <v>0</v>
      </c>
      <c r="N23" s="10">
        <v>229.59405999999998</v>
      </c>
      <c r="O23" s="10">
        <v>229.59405999999998</v>
      </c>
      <c r="Q23" s="10">
        <v>0</v>
      </c>
      <c r="R23" s="10">
        <v>2073.4</v>
      </c>
      <c r="S23" s="10">
        <v>2073.4</v>
      </c>
    </row>
    <row r="24" spans="1:19" x14ac:dyDescent="0.2">
      <c r="A24" s="9" t="s">
        <v>51</v>
      </c>
      <c r="B24" s="9" t="s">
        <v>52</v>
      </c>
      <c r="C24" s="9">
        <v>2</v>
      </c>
      <c r="D24" s="9">
        <v>0</v>
      </c>
      <c r="E24" s="9">
        <v>7</v>
      </c>
      <c r="F24" s="9">
        <f t="shared" si="0"/>
        <v>9</v>
      </c>
      <c r="H24" s="10">
        <v>222</v>
      </c>
      <c r="I24" s="10">
        <v>0</v>
      </c>
      <c r="J24" s="10">
        <v>115.5</v>
      </c>
      <c r="K24" s="10">
        <v>130.71</v>
      </c>
      <c r="M24" s="10">
        <v>0</v>
      </c>
      <c r="N24" s="10">
        <v>105.68833000000001</v>
      </c>
      <c r="O24" s="10">
        <v>105.59</v>
      </c>
      <c r="Q24" s="10">
        <v>0</v>
      </c>
      <c r="R24" s="10">
        <v>1145.06</v>
      </c>
      <c r="S24" s="10">
        <v>1049.05</v>
      </c>
    </row>
    <row r="25" spans="1:19" x14ac:dyDescent="0.2">
      <c r="A25" s="9" t="s">
        <v>53</v>
      </c>
      <c r="B25" s="9" t="s">
        <v>54</v>
      </c>
      <c r="C25" s="9">
        <v>119</v>
      </c>
      <c r="D25" s="9">
        <v>77</v>
      </c>
      <c r="E25" s="9">
        <v>433</v>
      </c>
      <c r="F25" s="9">
        <f t="shared" si="0"/>
        <v>629</v>
      </c>
      <c r="H25" s="10">
        <v>82.21</v>
      </c>
      <c r="I25" s="10">
        <v>91.82</v>
      </c>
      <c r="J25" s="10">
        <v>77.09</v>
      </c>
      <c r="K25" s="10">
        <v>79.62</v>
      </c>
      <c r="M25" s="10">
        <v>209.13165000000001</v>
      </c>
      <c r="N25" s="10">
        <v>166.36096000000001</v>
      </c>
      <c r="O25" s="10">
        <v>175.15392</v>
      </c>
      <c r="Q25" s="10">
        <v>2461.61</v>
      </c>
      <c r="R25" s="10">
        <v>2034.43</v>
      </c>
      <c r="S25" s="10">
        <v>2122.25</v>
      </c>
    </row>
    <row r="26" spans="1:19" x14ac:dyDescent="0.2">
      <c r="A26" s="9" t="s">
        <v>55</v>
      </c>
      <c r="B26" s="9" t="s">
        <v>56</v>
      </c>
      <c r="C26" s="9">
        <v>0</v>
      </c>
      <c r="D26" s="9">
        <v>6</v>
      </c>
      <c r="E26" s="9">
        <v>33</v>
      </c>
      <c r="F26" s="9">
        <f t="shared" si="0"/>
        <v>39</v>
      </c>
      <c r="H26" s="10">
        <v>0</v>
      </c>
      <c r="I26" s="10">
        <v>74</v>
      </c>
      <c r="J26" s="10">
        <v>77.48</v>
      </c>
      <c r="K26" s="10">
        <v>77.03</v>
      </c>
      <c r="M26" s="10">
        <v>0</v>
      </c>
      <c r="N26" s="10">
        <v>0</v>
      </c>
      <c r="O26" s="10">
        <v>0</v>
      </c>
      <c r="Q26" s="10">
        <v>0</v>
      </c>
      <c r="R26" s="10">
        <v>0</v>
      </c>
      <c r="S26" s="10">
        <v>0</v>
      </c>
    </row>
    <row r="27" spans="1:19" x14ac:dyDescent="0.2">
      <c r="A27" s="9" t="s">
        <v>57</v>
      </c>
      <c r="B27" s="9" t="s">
        <v>58</v>
      </c>
      <c r="C27" s="9">
        <v>5</v>
      </c>
      <c r="D27" s="9">
        <v>0</v>
      </c>
      <c r="E27" s="9">
        <v>27</v>
      </c>
      <c r="F27" s="9">
        <f t="shared" si="0"/>
        <v>32</v>
      </c>
      <c r="H27" s="10">
        <v>65.5</v>
      </c>
      <c r="I27" s="10">
        <v>0</v>
      </c>
      <c r="J27" s="10">
        <v>80.16</v>
      </c>
      <c r="K27" s="10">
        <v>78.14</v>
      </c>
      <c r="M27" s="10">
        <v>47.237499999999997</v>
      </c>
      <c r="N27" s="10">
        <v>55.587319999999998</v>
      </c>
      <c r="O27" s="10">
        <v>54.135179999999998</v>
      </c>
      <c r="Q27" s="10">
        <v>719.66</v>
      </c>
      <c r="R27" s="10">
        <v>681.45</v>
      </c>
      <c r="S27" s="10">
        <v>688.1</v>
      </c>
    </row>
    <row r="28" spans="1:19" x14ac:dyDescent="0.2">
      <c r="A28" s="9" t="s">
        <v>59</v>
      </c>
      <c r="B28" s="9" t="s">
        <v>60</v>
      </c>
      <c r="C28" s="9">
        <v>19</v>
      </c>
      <c r="D28" s="9">
        <v>6</v>
      </c>
      <c r="E28" s="9">
        <v>19</v>
      </c>
      <c r="F28" s="9">
        <f t="shared" si="0"/>
        <v>44</v>
      </c>
      <c r="H28" s="10">
        <v>111.84</v>
      </c>
      <c r="I28" s="10">
        <v>91.2</v>
      </c>
      <c r="J28" s="10">
        <v>95.63</v>
      </c>
      <c r="K28" s="10">
        <v>102.28</v>
      </c>
      <c r="M28" s="10">
        <v>114.15788999999999</v>
      </c>
      <c r="N28" s="10">
        <v>116.33821</v>
      </c>
      <c r="O28" s="10">
        <v>115.08287</v>
      </c>
      <c r="Q28" s="10">
        <v>1212.08</v>
      </c>
      <c r="R28" s="10">
        <v>1272.23</v>
      </c>
      <c r="S28" s="10">
        <v>1237.5999999999999</v>
      </c>
    </row>
    <row r="29" spans="1:19" x14ac:dyDescent="0.2">
      <c r="A29" s="9" t="s">
        <v>61</v>
      </c>
      <c r="B29" s="9" t="s">
        <v>62</v>
      </c>
      <c r="C29" s="9">
        <v>2</v>
      </c>
      <c r="D29" s="9">
        <v>1</v>
      </c>
      <c r="E29" s="9">
        <v>81</v>
      </c>
      <c r="F29" s="9">
        <f t="shared" si="0"/>
        <v>84</v>
      </c>
      <c r="H29" s="10">
        <v>79</v>
      </c>
      <c r="I29" s="10">
        <v>0</v>
      </c>
      <c r="J29" s="10">
        <v>91.08</v>
      </c>
      <c r="K29" s="10">
        <v>90.93</v>
      </c>
      <c r="M29" s="10">
        <v>0</v>
      </c>
      <c r="N29" s="10">
        <v>155.09504999999999</v>
      </c>
      <c r="O29" s="10">
        <v>154.86635000000001</v>
      </c>
      <c r="Q29" s="10">
        <v>0</v>
      </c>
      <c r="R29" s="10">
        <v>1694.41</v>
      </c>
      <c r="S29" s="10">
        <v>1695.59</v>
      </c>
    </row>
    <row r="30" spans="1:19" x14ac:dyDescent="0.2">
      <c r="A30" s="9" t="s">
        <v>63</v>
      </c>
      <c r="B30" s="9" t="s">
        <v>64</v>
      </c>
      <c r="C30" s="9">
        <v>252</v>
      </c>
      <c r="D30" s="9">
        <v>11</v>
      </c>
      <c r="E30" s="9">
        <v>3296</v>
      </c>
      <c r="F30" s="9">
        <f t="shared" si="0"/>
        <v>3559</v>
      </c>
      <c r="H30" s="10">
        <v>85.75</v>
      </c>
      <c r="I30" s="10">
        <v>71.7</v>
      </c>
      <c r="J30" s="10">
        <v>76.66</v>
      </c>
      <c r="K30" s="10">
        <v>77.3</v>
      </c>
      <c r="M30" s="10">
        <v>411.81234999999998</v>
      </c>
      <c r="N30" s="10">
        <v>313.54371000000003</v>
      </c>
      <c r="O30" s="10">
        <v>323.20145000000002</v>
      </c>
      <c r="Q30" s="10">
        <v>4231.1000000000004</v>
      </c>
      <c r="R30" s="10">
        <v>3707</v>
      </c>
      <c r="S30" s="10">
        <v>3758.51</v>
      </c>
    </row>
    <row r="31" spans="1:19" x14ac:dyDescent="0.2">
      <c r="A31" s="9" t="s">
        <v>65</v>
      </c>
      <c r="B31" s="9" t="s">
        <v>66</v>
      </c>
      <c r="C31" s="9">
        <v>0</v>
      </c>
      <c r="D31" s="9">
        <v>0</v>
      </c>
      <c r="E31" s="9">
        <v>13</v>
      </c>
      <c r="F31" s="9">
        <f t="shared" si="0"/>
        <v>13</v>
      </c>
      <c r="H31" s="10">
        <v>0</v>
      </c>
      <c r="I31" s="10">
        <v>0</v>
      </c>
      <c r="J31" s="10">
        <v>180.67</v>
      </c>
      <c r="K31" s="10">
        <v>180.67</v>
      </c>
      <c r="M31" s="10">
        <v>0</v>
      </c>
      <c r="N31" s="10">
        <v>304.83332999999999</v>
      </c>
      <c r="O31" s="10">
        <v>304.83332999999999</v>
      </c>
      <c r="Q31" s="10">
        <v>0</v>
      </c>
      <c r="R31" s="10">
        <v>1770.94</v>
      </c>
      <c r="S31" s="10">
        <v>1770.94</v>
      </c>
    </row>
    <row r="32" spans="1:19" x14ac:dyDescent="0.2">
      <c r="A32" s="9" t="s">
        <v>67</v>
      </c>
      <c r="B32" s="9" t="s">
        <v>68</v>
      </c>
      <c r="C32" s="9">
        <v>2</v>
      </c>
      <c r="D32" s="9">
        <v>0</v>
      </c>
      <c r="E32" s="9">
        <v>27</v>
      </c>
      <c r="F32" s="9">
        <f t="shared" si="0"/>
        <v>29</v>
      </c>
      <c r="H32" s="10">
        <v>94.5</v>
      </c>
      <c r="I32" s="10">
        <v>0</v>
      </c>
      <c r="J32" s="10">
        <v>88.91</v>
      </c>
      <c r="K32" s="10">
        <v>89.38</v>
      </c>
      <c r="M32" s="10">
        <v>0</v>
      </c>
      <c r="N32" s="10">
        <v>80.672719999999998</v>
      </c>
      <c r="O32" s="10">
        <v>81.408330000000007</v>
      </c>
      <c r="Q32" s="10">
        <v>0</v>
      </c>
      <c r="R32" s="10">
        <v>877.9</v>
      </c>
      <c r="S32" s="10">
        <v>877.53</v>
      </c>
    </row>
    <row r="33" spans="1:19" x14ac:dyDescent="0.2">
      <c r="A33" s="9" t="s">
        <v>69</v>
      </c>
      <c r="B33" s="9" t="s">
        <v>70</v>
      </c>
      <c r="C33" s="9">
        <v>7</v>
      </c>
      <c r="D33" s="9">
        <v>0</v>
      </c>
      <c r="E33" s="9">
        <v>33</v>
      </c>
      <c r="F33" s="9">
        <f t="shared" si="0"/>
        <v>40</v>
      </c>
      <c r="H33" s="10">
        <v>283.39999999999998</v>
      </c>
      <c r="I33" s="10">
        <v>0</v>
      </c>
      <c r="J33" s="10">
        <v>157.13999999999999</v>
      </c>
      <c r="K33" s="10">
        <v>176.27</v>
      </c>
      <c r="M33" s="10">
        <v>193.02</v>
      </c>
      <c r="N33" s="10">
        <v>177.42073000000002</v>
      </c>
      <c r="O33" s="10">
        <v>179.71473999999998</v>
      </c>
      <c r="Q33" s="10">
        <v>709.02</v>
      </c>
      <c r="R33" s="10">
        <v>1207.5999999999999</v>
      </c>
      <c r="S33" s="10">
        <v>1134.28</v>
      </c>
    </row>
    <row r="34" spans="1:19" x14ac:dyDescent="0.2">
      <c r="A34" s="9" t="s">
        <v>71</v>
      </c>
      <c r="B34" s="9" t="s">
        <v>72</v>
      </c>
      <c r="C34" s="9">
        <v>7</v>
      </c>
      <c r="D34" s="9">
        <v>0</v>
      </c>
      <c r="E34" s="9">
        <v>22</v>
      </c>
      <c r="F34" s="9">
        <f t="shared" si="0"/>
        <v>29</v>
      </c>
      <c r="H34" s="10">
        <v>152.57</v>
      </c>
      <c r="I34" s="10">
        <v>0</v>
      </c>
      <c r="J34" s="10">
        <v>106.86</v>
      </c>
      <c r="K34" s="10">
        <v>117.89</v>
      </c>
      <c r="M34" s="10">
        <v>123.14286</v>
      </c>
      <c r="N34" s="10">
        <v>103.748</v>
      </c>
      <c r="O34" s="10">
        <v>109.40483</v>
      </c>
      <c r="Q34" s="10">
        <v>770.6</v>
      </c>
      <c r="R34" s="10">
        <v>807.41</v>
      </c>
      <c r="S34" s="10">
        <v>796.67</v>
      </c>
    </row>
    <row r="35" spans="1:19" x14ac:dyDescent="0.2">
      <c r="A35" s="9" t="s">
        <v>73</v>
      </c>
      <c r="B35" s="9" t="s">
        <v>74</v>
      </c>
      <c r="C35" s="9">
        <v>3</v>
      </c>
      <c r="D35" s="9">
        <v>0</v>
      </c>
      <c r="E35" s="9">
        <v>123</v>
      </c>
      <c r="F35" s="9">
        <f t="shared" si="0"/>
        <v>126</v>
      </c>
      <c r="H35" s="10">
        <v>65.33</v>
      </c>
      <c r="I35" s="10">
        <v>0</v>
      </c>
      <c r="J35" s="10">
        <v>72.599999999999994</v>
      </c>
      <c r="K35" s="10">
        <v>72.39</v>
      </c>
      <c r="M35" s="10">
        <v>155.80000000000001</v>
      </c>
      <c r="N35" s="10">
        <v>106.27646</v>
      </c>
      <c r="O35" s="10">
        <v>107.69237</v>
      </c>
      <c r="Q35" s="10">
        <v>2403.1999999999998</v>
      </c>
      <c r="R35" s="10">
        <v>1488.73</v>
      </c>
      <c r="S35" s="10">
        <v>1514.86</v>
      </c>
    </row>
    <row r="36" spans="1:19" x14ac:dyDescent="0.2">
      <c r="A36" s="9" t="s">
        <v>75</v>
      </c>
      <c r="B36" s="9" t="s">
        <v>76</v>
      </c>
      <c r="C36" s="9">
        <v>5</v>
      </c>
      <c r="D36" s="9">
        <v>0</v>
      </c>
      <c r="E36" s="9">
        <v>7</v>
      </c>
      <c r="F36" s="9">
        <f t="shared" si="0"/>
        <v>12</v>
      </c>
      <c r="H36" s="10">
        <v>125.2</v>
      </c>
      <c r="I36" s="10">
        <v>0</v>
      </c>
      <c r="J36" s="10">
        <v>122.17</v>
      </c>
      <c r="K36" s="10">
        <v>123.55</v>
      </c>
      <c r="M36" s="10">
        <v>71.581999999999994</v>
      </c>
      <c r="N36" s="10">
        <v>59.3</v>
      </c>
      <c r="O36" s="10">
        <v>65.441000000000003</v>
      </c>
      <c r="Q36" s="10">
        <v>665.51</v>
      </c>
      <c r="R36" s="10">
        <v>466</v>
      </c>
      <c r="S36" s="10">
        <v>565.75</v>
      </c>
    </row>
    <row r="37" spans="1:19" x14ac:dyDescent="0.2">
      <c r="A37" s="9" t="s">
        <v>77</v>
      </c>
      <c r="B37" s="9" t="s">
        <v>78</v>
      </c>
      <c r="C37" s="9">
        <v>0</v>
      </c>
      <c r="D37" s="9">
        <v>0</v>
      </c>
      <c r="E37" s="9">
        <v>22</v>
      </c>
      <c r="F37" s="9">
        <f t="shared" si="0"/>
        <v>22</v>
      </c>
      <c r="H37" s="10">
        <v>0</v>
      </c>
      <c r="I37" s="10">
        <v>0</v>
      </c>
      <c r="J37" s="10">
        <v>201.95</v>
      </c>
      <c r="K37" s="10">
        <v>201.95</v>
      </c>
      <c r="M37" s="10">
        <v>0</v>
      </c>
      <c r="N37" s="10">
        <v>427.84827000000001</v>
      </c>
      <c r="O37" s="10">
        <v>427.84827000000001</v>
      </c>
      <c r="Q37" s="10">
        <v>0</v>
      </c>
      <c r="R37" s="10">
        <v>2221.36</v>
      </c>
      <c r="S37" s="10">
        <v>2221.36</v>
      </c>
    </row>
    <row r="38" spans="1:19" x14ac:dyDescent="0.2">
      <c r="A38" s="9" t="s">
        <v>79</v>
      </c>
      <c r="B38" s="9" t="s">
        <v>80</v>
      </c>
      <c r="C38" s="9">
        <v>64</v>
      </c>
      <c r="D38" s="9">
        <v>0</v>
      </c>
      <c r="E38" s="9">
        <v>76</v>
      </c>
      <c r="F38" s="9">
        <f t="shared" si="0"/>
        <v>140</v>
      </c>
      <c r="H38" s="10">
        <v>73.87</v>
      </c>
      <c r="I38" s="10">
        <v>0</v>
      </c>
      <c r="J38" s="10">
        <v>101.47</v>
      </c>
      <c r="K38" s="10">
        <v>88.42</v>
      </c>
      <c r="M38" s="10">
        <v>116.73307000000001</v>
      </c>
      <c r="N38" s="10">
        <v>131.43283</v>
      </c>
      <c r="O38" s="10">
        <v>124.37232</v>
      </c>
      <c r="Q38" s="10">
        <v>1603.13</v>
      </c>
      <c r="R38" s="10">
        <v>1469.67</v>
      </c>
      <c r="S38" s="10">
        <v>1533.77</v>
      </c>
    </row>
    <row r="39" spans="1:19" x14ac:dyDescent="0.2">
      <c r="A39" s="9" t="s">
        <v>81</v>
      </c>
      <c r="B39" s="9" t="s">
        <v>82</v>
      </c>
      <c r="C39" s="9">
        <v>3</v>
      </c>
      <c r="D39" s="9">
        <v>0</v>
      </c>
      <c r="E39" s="9">
        <v>23</v>
      </c>
      <c r="F39" s="9">
        <f t="shared" si="0"/>
        <v>26</v>
      </c>
      <c r="H39" s="10">
        <v>138.5</v>
      </c>
      <c r="I39" s="10">
        <v>0</v>
      </c>
      <c r="J39" s="10">
        <v>161.26</v>
      </c>
      <c r="K39" s="10">
        <v>159.09</v>
      </c>
      <c r="M39" s="10">
        <v>129.9</v>
      </c>
      <c r="N39" s="10">
        <v>283.4228</v>
      </c>
      <c r="O39" s="10">
        <v>268.80609999999996</v>
      </c>
      <c r="Q39" s="10">
        <v>1026</v>
      </c>
      <c r="R39" s="10">
        <v>1588.73</v>
      </c>
      <c r="S39" s="10">
        <v>1535.14</v>
      </c>
    </row>
    <row r="40" spans="1:19" x14ac:dyDescent="0.2">
      <c r="A40" s="9" t="s">
        <v>83</v>
      </c>
      <c r="B40" s="9" t="s">
        <v>84</v>
      </c>
      <c r="C40" s="9">
        <v>16</v>
      </c>
      <c r="D40" s="9">
        <v>0</v>
      </c>
      <c r="E40" s="9">
        <v>31</v>
      </c>
      <c r="F40" s="9">
        <f t="shared" si="0"/>
        <v>47</v>
      </c>
      <c r="H40" s="10">
        <v>171.73</v>
      </c>
      <c r="I40" s="10">
        <v>0</v>
      </c>
      <c r="J40" s="10">
        <v>130.28</v>
      </c>
      <c r="K40" s="10">
        <v>144.41</v>
      </c>
      <c r="M40" s="10">
        <v>199.50800000000001</v>
      </c>
      <c r="N40" s="10">
        <v>169.09585999999999</v>
      </c>
      <c r="O40" s="10">
        <v>179.46362999999999</v>
      </c>
      <c r="Q40" s="10">
        <v>1452.42</v>
      </c>
      <c r="R40" s="10">
        <v>1374.77</v>
      </c>
      <c r="S40" s="10">
        <v>1401.24</v>
      </c>
    </row>
    <row r="41" spans="1:19" x14ac:dyDescent="0.2">
      <c r="A41" s="9" t="s">
        <v>85</v>
      </c>
      <c r="B41" s="9" t="s">
        <v>86</v>
      </c>
      <c r="C41" s="9">
        <v>12</v>
      </c>
      <c r="D41" s="9">
        <v>0</v>
      </c>
      <c r="E41" s="9">
        <v>50</v>
      </c>
      <c r="F41" s="9">
        <f t="shared" si="0"/>
        <v>62</v>
      </c>
      <c r="H41" s="10">
        <v>80.180000000000007</v>
      </c>
      <c r="I41" s="10">
        <v>0</v>
      </c>
      <c r="J41" s="10">
        <v>84.78</v>
      </c>
      <c r="K41" s="10">
        <v>83.79</v>
      </c>
      <c r="M41" s="10">
        <v>134.09091000000001</v>
      </c>
      <c r="N41" s="10">
        <v>121.81028000000001</v>
      </c>
      <c r="O41" s="10">
        <v>124.51202000000001</v>
      </c>
      <c r="Q41" s="10">
        <v>1715.51</v>
      </c>
      <c r="R41" s="10">
        <v>1473.49</v>
      </c>
      <c r="S41" s="10">
        <v>1526.73</v>
      </c>
    </row>
    <row r="42" spans="1:19" x14ac:dyDescent="0.2">
      <c r="A42" s="9" t="s">
        <v>87</v>
      </c>
      <c r="B42" s="9" t="s">
        <v>88</v>
      </c>
      <c r="C42" s="9">
        <v>16</v>
      </c>
      <c r="D42" s="9">
        <v>0</v>
      </c>
      <c r="E42" s="9">
        <v>61</v>
      </c>
      <c r="F42" s="9">
        <f t="shared" si="0"/>
        <v>77</v>
      </c>
      <c r="H42" s="10">
        <v>108.8</v>
      </c>
      <c r="I42" s="10">
        <v>0</v>
      </c>
      <c r="J42" s="10">
        <v>93.13</v>
      </c>
      <c r="K42" s="10">
        <v>96.44</v>
      </c>
      <c r="M42" s="10">
        <v>226.06667000000002</v>
      </c>
      <c r="N42" s="10">
        <v>173.86948999999998</v>
      </c>
      <c r="O42" s="10">
        <v>185.05459999999999</v>
      </c>
      <c r="Q42" s="10">
        <v>2273.7399999999998</v>
      </c>
      <c r="R42" s="10">
        <v>2087.73</v>
      </c>
      <c r="S42" s="10">
        <v>2127.59</v>
      </c>
    </row>
    <row r="43" spans="1:19" x14ac:dyDescent="0.2">
      <c r="A43" s="9" t="s">
        <v>89</v>
      </c>
      <c r="B43" s="9" t="s">
        <v>90</v>
      </c>
      <c r="C43" s="9">
        <v>4</v>
      </c>
      <c r="D43" s="9">
        <v>0</v>
      </c>
      <c r="E43" s="9">
        <v>181</v>
      </c>
      <c r="F43" s="9">
        <f t="shared" si="0"/>
        <v>185</v>
      </c>
      <c r="H43" s="10">
        <v>121</v>
      </c>
      <c r="I43" s="10">
        <v>0</v>
      </c>
      <c r="J43" s="10">
        <v>95.63</v>
      </c>
      <c r="K43" s="10">
        <v>96.28</v>
      </c>
      <c r="M43" s="10">
        <v>190.75</v>
      </c>
      <c r="N43" s="10">
        <v>160.53082999999998</v>
      </c>
      <c r="O43" s="10">
        <v>161.32086999999999</v>
      </c>
      <c r="Q43" s="10">
        <v>1600.04</v>
      </c>
      <c r="R43" s="10">
        <v>1772.46</v>
      </c>
      <c r="S43" s="10">
        <v>1767.95</v>
      </c>
    </row>
    <row r="44" spans="1:19" x14ac:dyDescent="0.2">
      <c r="A44" s="9" t="s">
        <v>91</v>
      </c>
      <c r="B44" s="9" t="s">
        <v>92</v>
      </c>
      <c r="C44" s="9">
        <v>12</v>
      </c>
      <c r="D44" s="9">
        <v>1</v>
      </c>
      <c r="E44" s="9">
        <v>42</v>
      </c>
      <c r="F44" s="9">
        <f t="shared" si="0"/>
        <v>55</v>
      </c>
      <c r="H44" s="10">
        <v>104</v>
      </c>
      <c r="I44" s="10">
        <v>90</v>
      </c>
      <c r="J44" s="10">
        <v>99.88</v>
      </c>
      <c r="K44" s="10">
        <v>100.63</v>
      </c>
      <c r="M44" s="10">
        <v>163.2544</v>
      </c>
      <c r="N44" s="10">
        <v>178.22484</v>
      </c>
      <c r="O44" s="10">
        <v>174.63192999999998</v>
      </c>
      <c r="Q44" s="10">
        <v>1832.73</v>
      </c>
      <c r="R44" s="10">
        <v>1913.01</v>
      </c>
      <c r="S44" s="10">
        <v>1893.74</v>
      </c>
    </row>
    <row r="45" spans="1:19" x14ac:dyDescent="0.2">
      <c r="A45" s="9" t="s">
        <v>93</v>
      </c>
      <c r="B45" s="9" t="s">
        <v>94</v>
      </c>
      <c r="C45" s="9">
        <v>0</v>
      </c>
      <c r="D45" s="9">
        <v>0</v>
      </c>
      <c r="E45" s="9">
        <v>0</v>
      </c>
      <c r="F45" s="9">
        <f t="shared" si="0"/>
        <v>0</v>
      </c>
      <c r="H45" s="10">
        <v>0</v>
      </c>
      <c r="I45" s="10">
        <v>0</v>
      </c>
      <c r="J45" s="10">
        <v>0</v>
      </c>
      <c r="K45" s="10">
        <v>0</v>
      </c>
      <c r="M45" s="10">
        <v>0</v>
      </c>
      <c r="N45" s="10">
        <v>0</v>
      </c>
      <c r="O45" s="10">
        <v>0</v>
      </c>
      <c r="Q45" s="10">
        <v>0</v>
      </c>
      <c r="R45" s="10">
        <v>0</v>
      </c>
      <c r="S45" s="10">
        <v>0</v>
      </c>
    </row>
    <row r="46" spans="1:19" x14ac:dyDescent="0.2">
      <c r="A46" s="9" t="s">
        <v>95</v>
      </c>
      <c r="B46" s="9" t="s">
        <v>96</v>
      </c>
      <c r="C46" s="9">
        <v>7</v>
      </c>
      <c r="D46" s="9">
        <v>2</v>
      </c>
      <c r="E46" s="9">
        <v>23</v>
      </c>
      <c r="F46" s="9">
        <f t="shared" si="0"/>
        <v>32</v>
      </c>
      <c r="H46" s="10">
        <v>80.400000000000006</v>
      </c>
      <c r="I46" s="10">
        <v>90</v>
      </c>
      <c r="J46" s="10">
        <v>91.81</v>
      </c>
      <c r="K46" s="10">
        <v>89.13</v>
      </c>
      <c r="M46" s="10">
        <v>92.7</v>
      </c>
      <c r="N46" s="10">
        <v>94.184300000000007</v>
      </c>
      <c r="O46" s="10">
        <v>93.8309</v>
      </c>
      <c r="Q46" s="10">
        <v>998.47</v>
      </c>
      <c r="R46" s="10">
        <v>934.76</v>
      </c>
      <c r="S46" s="10">
        <v>949.93</v>
      </c>
    </row>
    <row r="47" spans="1:19" x14ac:dyDescent="0.2">
      <c r="A47" s="9" t="s">
        <v>97</v>
      </c>
      <c r="B47" s="9" t="s">
        <v>98</v>
      </c>
      <c r="C47" s="9">
        <v>1</v>
      </c>
      <c r="D47" s="9">
        <v>0</v>
      </c>
      <c r="E47" s="9">
        <v>4</v>
      </c>
      <c r="F47" s="9">
        <f t="shared" si="0"/>
        <v>5</v>
      </c>
      <c r="H47" s="10">
        <v>0</v>
      </c>
      <c r="I47" s="10">
        <v>0</v>
      </c>
      <c r="J47" s="10">
        <v>66.5</v>
      </c>
      <c r="K47" s="10">
        <v>66.5</v>
      </c>
      <c r="M47" s="10">
        <v>0</v>
      </c>
      <c r="N47" s="10">
        <v>82.893129999999999</v>
      </c>
      <c r="O47" s="10">
        <v>82.893129999999999</v>
      </c>
      <c r="Q47" s="10">
        <v>0</v>
      </c>
      <c r="R47" s="10">
        <v>1223.6500000000001</v>
      </c>
      <c r="S47" s="10">
        <v>1223.6500000000001</v>
      </c>
    </row>
    <row r="48" spans="1:19" x14ac:dyDescent="0.2">
      <c r="A48" s="9" t="s">
        <v>99</v>
      </c>
      <c r="B48" s="9" t="s">
        <v>100</v>
      </c>
      <c r="C48" s="9">
        <v>2</v>
      </c>
      <c r="D48" s="9">
        <v>0</v>
      </c>
      <c r="E48" s="9">
        <v>45</v>
      </c>
      <c r="F48" s="9">
        <f t="shared" si="0"/>
        <v>47</v>
      </c>
      <c r="H48" s="10">
        <v>135</v>
      </c>
      <c r="I48" s="10">
        <v>0</v>
      </c>
      <c r="J48" s="10">
        <v>120.49</v>
      </c>
      <c r="K48" s="10">
        <v>120.82</v>
      </c>
      <c r="M48" s="10">
        <v>0</v>
      </c>
      <c r="N48" s="10">
        <v>177.55736999999999</v>
      </c>
      <c r="O48" s="10">
        <v>182.36288000000002</v>
      </c>
      <c r="Q48" s="10">
        <v>0</v>
      </c>
      <c r="R48" s="10">
        <v>1673.04</v>
      </c>
      <c r="S48" s="10">
        <v>1700.5</v>
      </c>
    </row>
    <row r="49" spans="1:19" x14ac:dyDescent="0.2">
      <c r="A49" s="9" t="s">
        <v>101</v>
      </c>
      <c r="B49" s="9" t="s">
        <v>102</v>
      </c>
      <c r="C49" s="9">
        <v>4</v>
      </c>
      <c r="D49" s="9">
        <v>2</v>
      </c>
      <c r="E49" s="9">
        <v>16</v>
      </c>
      <c r="F49" s="9">
        <f t="shared" si="0"/>
        <v>22</v>
      </c>
      <c r="H49" s="10">
        <v>87</v>
      </c>
      <c r="I49" s="10">
        <v>106</v>
      </c>
      <c r="J49" s="10">
        <v>115.07</v>
      </c>
      <c r="K49" s="10">
        <v>109.89</v>
      </c>
      <c r="M49" s="10">
        <v>81.400000000000006</v>
      </c>
      <c r="N49" s="10">
        <v>119.58661000000001</v>
      </c>
      <c r="O49" s="10">
        <v>112.84780000000001</v>
      </c>
      <c r="Q49" s="10">
        <v>906.91</v>
      </c>
      <c r="R49" s="10">
        <v>1041.45</v>
      </c>
      <c r="S49" s="10">
        <v>1017.71</v>
      </c>
    </row>
    <row r="50" spans="1:19" x14ac:dyDescent="0.2">
      <c r="A50" s="9" t="s">
        <v>103</v>
      </c>
      <c r="B50" s="9" t="s">
        <v>104</v>
      </c>
      <c r="C50" s="9">
        <v>16</v>
      </c>
      <c r="D50" s="9">
        <v>0</v>
      </c>
      <c r="E50" s="9">
        <v>52</v>
      </c>
      <c r="F50" s="9">
        <f t="shared" si="0"/>
        <v>68</v>
      </c>
      <c r="H50" s="10">
        <v>159.69</v>
      </c>
      <c r="I50" s="10">
        <v>0</v>
      </c>
      <c r="J50" s="10">
        <v>133.96</v>
      </c>
      <c r="K50" s="10">
        <v>140.6</v>
      </c>
      <c r="M50" s="10">
        <v>90.743750000000006</v>
      </c>
      <c r="N50" s="10">
        <v>201.11042999999998</v>
      </c>
      <c r="O50" s="10">
        <v>172.62870999999998</v>
      </c>
      <c r="Q50" s="10">
        <v>637.94000000000005</v>
      </c>
      <c r="R50" s="10">
        <v>1722.2</v>
      </c>
      <c r="S50" s="10">
        <v>1442.39</v>
      </c>
    </row>
    <row r="51" spans="1:19" x14ac:dyDescent="0.2">
      <c r="A51" s="9" t="s">
        <v>105</v>
      </c>
      <c r="B51" s="9" t="s">
        <v>106</v>
      </c>
      <c r="C51" s="9">
        <v>0</v>
      </c>
      <c r="D51" s="9">
        <v>0</v>
      </c>
      <c r="E51" s="9">
        <v>33</v>
      </c>
      <c r="F51" s="9">
        <f t="shared" si="0"/>
        <v>33</v>
      </c>
      <c r="H51" s="10">
        <v>0</v>
      </c>
      <c r="I51" s="10">
        <v>0</v>
      </c>
      <c r="J51" s="10">
        <v>117.82</v>
      </c>
      <c r="K51" s="10">
        <v>117.82</v>
      </c>
      <c r="M51" s="10">
        <v>0</v>
      </c>
      <c r="N51" s="10">
        <v>215.98214000000002</v>
      </c>
      <c r="O51" s="10">
        <v>215.98214000000002</v>
      </c>
      <c r="Q51" s="10">
        <v>0</v>
      </c>
      <c r="R51" s="10">
        <v>2035.11</v>
      </c>
      <c r="S51" s="10">
        <v>2035.11</v>
      </c>
    </row>
    <row r="52" spans="1:19" x14ac:dyDescent="0.2">
      <c r="A52" s="9" t="s">
        <v>107</v>
      </c>
      <c r="B52" s="9" t="s">
        <v>108</v>
      </c>
      <c r="C52" s="9">
        <v>10</v>
      </c>
      <c r="D52" s="9">
        <v>0</v>
      </c>
      <c r="E52" s="9">
        <v>165</v>
      </c>
      <c r="F52" s="9">
        <f t="shared" si="0"/>
        <v>175</v>
      </c>
      <c r="H52" s="10">
        <v>81.3</v>
      </c>
      <c r="I52" s="10">
        <v>0</v>
      </c>
      <c r="J52" s="10">
        <v>95.04</v>
      </c>
      <c r="K52" s="10">
        <v>94.16</v>
      </c>
      <c r="M52" s="10">
        <v>257.76418999999999</v>
      </c>
      <c r="N52" s="10">
        <v>281.59085999999996</v>
      </c>
      <c r="O52" s="10">
        <v>280.01292999999998</v>
      </c>
      <c r="Q52" s="10">
        <v>3166.53</v>
      </c>
      <c r="R52" s="10">
        <v>3092.56</v>
      </c>
      <c r="S52" s="10">
        <v>3097.46</v>
      </c>
    </row>
    <row r="53" spans="1:19" x14ac:dyDescent="0.2">
      <c r="A53" s="9" t="s">
        <v>109</v>
      </c>
      <c r="B53" s="9" t="s">
        <v>110</v>
      </c>
      <c r="C53" s="9">
        <v>9</v>
      </c>
      <c r="D53" s="9">
        <v>0</v>
      </c>
      <c r="E53" s="9">
        <v>98</v>
      </c>
      <c r="F53" s="9">
        <f t="shared" si="0"/>
        <v>107</v>
      </c>
      <c r="H53" s="10">
        <v>154.5</v>
      </c>
      <c r="I53" s="10">
        <v>0</v>
      </c>
      <c r="J53" s="10">
        <v>77.33</v>
      </c>
      <c r="K53" s="10">
        <v>84.11</v>
      </c>
      <c r="M53" s="10">
        <v>296.02375000000001</v>
      </c>
      <c r="N53" s="10">
        <v>140.91</v>
      </c>
      <c r="O53" s="10">
        <v>154.69789</v>
      </c>
      <c r="Q53" s="10">
        <v>1919.48</v>
      </c>
      <c r="R53" s="10">
        <v>1995.63</v>
      </c>
      <c r="S53" s="10">
        <v>1988.86</v>
      </c>
    </row>
    <row r="54" spans="1:19" x14ac:dyDescent="0.2">
      <c r="A54" s="9" t="s">
        <v>111</v>
      </c>
      <c r="B54" s="9" t="s">
        <v>112</v>
      </c>
      <c r="C54" s="9">
        <v>0</v>
      </c>
      <c r="D54" s="9">
        <v>0</v>
      </c>
      <c r="E54" s="9">
        <v>90</v>
      </c>
      <c r="F54" s="9">
        <f t="shared" si="0"/>
        <v>90</v>
      </c>
      <c r="H54" s="10">
        <v>0</v>
      </c>
      <c r="I54" s="10">
        <v>0</v>
      </c>
      <c r="J54" s="10">
        <v>98.33</v>
      </c>
      <c r="K54" s="10">
        <v>98.33</v>
      </c>
      <c r="M54" s="10">
        <v>0</v>
      </c>
      <c r="N54" s="10">
        <v>205.99910999999997</v>
      </c>
      <c r="O54" s="10">
        <v>205.99910999999997</v>
      </c>
      <c r="Q54" s="10">
        <v>0</v>
      </c>
      <c r="R54" s="10">
        <v>2078.8000000000002</v>
      </c>
      <c r="S54" s="10">
        <v>2078.8000000000002</v>
      </c>
    </row>
    <row r="55" spans="1:19" x14ac:dyDescent="0.2">
      <c r="A55" s="9" t="s">
        <v>113</v>
      </c>
      <c r="B55" s="9" t="s">
        <v>114</v>
      </c>
      <c r="C55" s="9">
        <v>3</v>
      </c>
      <c r="D55" s="9">
        <v>0</v>
      </c>
      <c r="E55" s="9">
        <v>10</v>
      </c>
      <c r="F55" s="9">
        <f t="shared" si="0"/>
        <v>13</v>
      </c>
      <c r="H55" s="10">
        <v>121</v>
      </c>
      <c r="I55" s="10">
        <v>0</v>
      </c>
      <c r="J55" s="10">
        <v>138.6</v>
      </c>
      <c r="K55" s="10">
        <v>134.54</v>
      </c>
      <c r="M55" s="10">
        <v>185</v>
      </c>
      <c r="N55" s="10">
        <v>159.69589999999999</v>
      </c>
      <c r="O55" s="10">
        <v>165.53531000000001</v>
      </c>
      <c r="Q55" s="10">
        <v>1530.2</v>
      </c>
      <c r="R55" s="10">
        <v>1122.3599999999999</v>
      </c>
      <c r="S55" s="10">
        <v>1216.47</v>
      </c>
    </row>
    <row r="56" spans="1:19" x14ac:dyDescent="0.2">
      <c r="A56" s="9" t="s">
        <v>115</v>
      </c>
      <c r="B56" s="9" t="s">
        <v>116</v>
      </c>
      <c r="C56" s="9">
        <v>7</v>
      </c>
      <c r="D56" s="9">
        <v>0</v>
      </c>
      <c r="E56" s="9">
        <v>7</v>
      </c>
      <c r="F56" s="9">
        <f t="shared" si="0"/>
        <v>14</v>
      </c>
      <c r="H56" s="10">
        <v>95</v>
      </c>
      <c r="I56" s="10">
        <v>0</v>
      </c>
      <c r="J56" s="10">
        <v>67.17</v>
      </c>
      <c r="K56" s="10">
        <v>79.819999999999993</v>
      </c>
      <c r="M56" s="10">
        <v>167.40039999999999</v>
      </c>
      <c r="N56" s="10">
        <v>108.27119999999999</v>
      </c>
      <c r="O56" s="10">
        <v>135.14810999999997</v>
      </c>
      <c r="Q56" s="10">
        <v>1782.73</v>
      </c>
      <c r="R56" s="10">
        <v>1804.67</v>
      </c>
      <c r="S56" s="10">
        <v>1794.7</v>
      </c>
    </row>
    <row r="57" spans="1:19" x14ac:dyDescent="0.2">
      <c r="A57" s="9" t="s">
        <v>117</v>
      </c>
      <c r="B57" s="9" t="s">
        <v>118</v>
      </c>
      <c r="C57" s="9">
        <v>3</v>
      </c>
      <c r="D57" s="9">
        <v>0</v>
      </c>
      <c r="E57" s="9">
        <v>116</v>
      </c>
      <c r="F57" s="9">
        <f t="shared" si="0"/>
        <v>119</v>
      </c>
      <c r="H57" s="10">
        <v>122.33</v>
      </c>
      <c r="I57" s="10">
        <v>0</v>
      </c>
      <c r="J57" s="10">
        <v>92.95</v>
      </c>
      <c r="K57" s="10">
        <v>93.73</v>
      </c>
      <c r="M57" s="10">
        <v>262.5</v>
      </c>
      <c r="N57" s="10">
        <v>244.32575</v>
      </c>
      <c r="O57" s="10">
        <v>244.93045000000001</v>
      </c>
      <c r="Q57" s="10">
        <v>2063.1</v>
      </c>
      <c r="R57" s="10">
        <v>2447.6999999999998</v>
      </c>
      <c r="S57" s="10">
        <v>2434.88</v>
      </c>
    </row>
    <row r="58" spans="1:19" x14ac:dyDescent="0.2">
      <c r="A58" s="9" t="s">
        <v>119</v>
      </c>
      <c r="B58" s="9" t="s">
        <v>120</v>
      </c>
      <c r="C58" s="9">
        <v>3</v>
      </c>
      <c r="D58" s="9">
        <v>0</v>
      </c>
      <c r="E58" s="9">
        <v>27</v>
      </c>
      <c r="F58" s="9">
        <f t="shared" si="0"/>
        <v>30</v>
      </c>
      <c r="H58" s="10">
        <v>134.66999999999999</v>
      </c>
      <c r="I58" s="10">
        <v>0</v>
      </c>
      <c r="J58" s="10">
        <v>159.27000000000001</v>
      </c>
      <c r="K58" s="10">
        <v>156.32</v>
      </c>
      <c r="M58" s="10">
        <v>226.7</v>
      </c>
      <c r="N58" s="10">
        <v>215.92061999999999</v>
      </c>
      <c r="O58" s="10">
        <v>217.21015</v>
      </c>
      <c r="Q58" s="10">
        <v>1733.3</v>
      </c>
      <c r="R58" s="10">
        <v>1535.65</v>
      </c>
      <c r="S58" s="10">
        <v>1559.37</v>
      </c>
    </row>
    <row r="59" spans="1:19" x14ac:dyDescent="0.2">
      <c r="A59" s="9" t="s">
        <v>121</v>
      </c>
      <c r="B59" s="9" t="s">
        <v>122</v>
      </c>
      <c r="C59" s="9">
        <v>0</v>
      </c>
      <c r="D59" s="9">
        <v>0</v>
      </c>
      <c r="E59" s="9">
        <v>9</v>
      </c>
      <c r="F59" s="9">
        <f t="shared" si="0"/>
        <v>9</v>
      </c>
      <c r="H59" s="10">
        <v>0</v>
      </c>
      <c r="I59" s="10">
        <v>0</v>
      </c>
      <c r="J59" s="10">
        <v>114.57</v>
      </c>
      <c r="K59" s="10">
        <v>114.57</v>
      </c>
      <c r="M59" s="10">
        <v>0</v>
      </c>
      <c r="N59" s="10">
        <v>102.01017</v>
      </c>
      <c r="O59" s="10">
        <v>102.01017</v>
      </c>
      <c r="Q59" s="10">
        <v>0</v>
      </c>
      <c r="R59" s="10">
        <v>879.31</v>
      </c>
      <c r="S59" s="10">
        <v>879.31</v>
      </c>
    </row>
    <row r="60" spans="1:19" x14ac:dyDescent="0.2">
      <c r="A60" s="9" t="s">
        <v>123</v>
      </c>
      <c r="B60" s="9" t="s">
        <v>124</v>
      </c>
      <c r="C60" s="9">
        <v>3</v>
      </c>
      <c r="D60" s="9">
        <v>0</v>
      </c>
      <c r="E60" s="9">
        <v>16</v>
      </c>
      <c r="F60" s="9">
        <f t="shared" si="0"/>
        <v>19</v>
      </c>
      <c r="H60" s="10">
        <v>154.33000000000001</v>
      </c>
      <c r="I60" s="10">
        <v>0</v>
      </c>
      <c r="J60" s="10">
        <v>97.64</v>
      </c>
      <c r="K60" s="10">
        <v>109.79</v>
      </c>
      <c r="M60" s="10">
        <v>82.7</v>
      </c>
      <c r="N60" s="10">
        <v>57.716889999999999</v>
      </c>
      <c r="O60" s="10">
        <v>63.063269999999996</v>
      </c>
      <c r="Q60" s="10">
        <v>512.1</v>
      </c>
      <c r="R60" s="10">
        <v>581.59</v>
      </c>
      <c r="S60" s="10">
        <v>566.70000000000005</v>
      </c>
    </row>
    <row r="61" spans="1:19" x14ac:dyDescent="0.2">
      <c r="A61" s="9" t="s">
        <v>125</v>
      </c>
      <c r="B61" s="9" t="s">
        <v>126</v>
      </c>
      <c r="C61" s="9">
        <v>7</v>
      </c>
      <c r="D61" s="9">
        <v>0</v>
      </c>
      <c r="E61" s="9">
        <v>29</v>
      </c>
      <c r="F61" s="9">
        <f t="shared" si="0"/>
        <v>36</v>
      </c>
      <c r="H61" s="10">
        <v>138.29</v>
      </c>
      <c r="I61" s="10">
        <v>0</v>
      </c>
      <c r="J61" s="10">
        <v>126.74</v>
      </c>
      <c r="K61" s="10">
        <v>129.43</v>
      </c>
      <c r="M61" s="10">
        <v>165.21429000000001</v>
      </c>
      <c r="N61" s="10">
        <v>187.03594000000001</v>
      </c>
      <c r="O61" s="10">
        <v>181.94422</v>
      </c>
      <c r="Q61" s="10">
        <v>1207.48</v>
      </c>
      <c r="R61" s="10">
        <v>1627.37</v>
      </c>
      <c r="S61" s="10">
        <v>1529.4</v>
      </c>
    </row>
    <row r="62" spans="1:19" x14ac:dyDescent="0.2">
      <c r="A62" s="9" t="s">
        <v>127</v>
      </c>
      <c r="B62" s="9" t="s">
        <v>128</v>
      </c>
      <c r="C62" s="9">
        <v>0</v>
      </c>
      <c r="D62" s="9">
        <v>0</v>
      </c>
      <c r="E62" s="9">
        <v>107</v>
      </c>
      <c r="F62" s="9">
        <f t="shared" si="0"/>
        <v>107</v>
      </c>
      <c r="H62" s="10">
        <v>0</v>
      </c>
      <c r="I62" s="10">
        <v>0</v>
      </c>
      <c r="J62" s="10">
        <v>65.459999999999994</v>
      </c>
      <c r="K62" s="10">
        <v>65.459999999999994</v>
      </c>
      <c r="M62" s="10">
        <v>0</v>
      </c>
      <c r="N62" s="10">
        <v>135.84645999999998</v>
      </c>
      <c r="O62" s="10">
        <v>135.84645999999998</v>
      </c>
      <c r="Q62" s="10">
        <v>0</v>
      </c>
      <c r="R62" s="10">
        <v>2228.39</v>
      </c>
      <c r="S62" s="10">
        <v>2228.39</v>
      </c>
    </row>
    <row r="63" spans="1:19" x14ac:dyDescent="0.2">
      <c r="A63" s="9" t="s">
        <v>129</v>
      </c>
      <c r="B63" s="9" t="s">
        <v>130</v>
      </c>
      <c r="C63" s="9">
        <v>0</v>
      </c>
      <c r="D63" s="9">
        <v>0</v>
      </c>
      <c r="E63" s="9">
        <v>76</v>
      </c>
      <c r="F63" s="9">
        <f t="shared" si="0"/>
        <v>76</v>
      </c>
      <c r="H63" s="10">
        <v>0</v>
      </c>
      <c r="I63" s="10">
        <v>0</v>
      </c>
      <c r="J63" s="10">
        <v>105.33</v>
      </c>
      <c r="K63" s="10">
        <v>105.33</v>
      </c>
      <c r="M63" s="10">
        <v>0</v>
      </c>
      <c r="N63" s="10">
        <v>165.63604000000001</v>
      </c>
      <c r="O63" s="10">
        <v>165.63604000000001</v>
      </c>
      <c r="Q63" s="10">
        <v>0</v>
      </c>
      <c r="R63" s="10">
        <v>1685.84</v>
      </c>
      <c r="S63" s="10">
        <v>1685.84</v>
      </c>
    </row>
    <row r="64" spans="1:19" x14ac:dyDescent="0.2">
      <c r="A64" s="9" t="s">
        <v>131</v>
      </c>
      <c r="B64" s="9" t="s">
        <v>132</v>
      </c>
      <c r="C64" s="9">
        <v>4</v>
      </c>
      <c r="D64" s="9">
        <v>2</v>
      </c>
      <c r="E64" s="9">
        <v>69</v>
      </c>
      <c r="F64" s="9">
        <f t="shared" si="0"/>
        <v>75</v>
      </c>
      <c r="H64" s="10">
        <v>79.75</v>
      </c>
      <c r="I64" s="10">
        <v>71.5</v>
      </c>
      <c r="J64" s="10">
        <v>88.62</v>
      </c>
      <c r="K64" s="10">
        <v>87.68</v>
      </c>
      <c r="M64" s="10">
        <v>84.0505</v>
      </c>
      <c r="N64" s="10">
        <v>119.64933000000001</v>
      </c>
      <c r="O64" s="10">
        <v>117.55528</v>
      </c>
      <c r="Q64" s="10">
        <v>1200.44</v>
      </c>
      <c r="R64" s="10">
        <v>1458.8</v>
      </c>
      <c r="S64" s="10">
        <v>1443.6</v>
      </c>
    </row>
    <row r="65" spans="1:19" x14ac:dyDescent="0.2">
      <c r="A65" s="9" t="s">
        <v>133</v>
      </c>
      <c r="B65" s="9" t="s">
        <v>134</v>
      </c>
      <c r="C65" s="9">
        <v>8</v>
      </c>
      <c r="D65" s="9">
        <v>0</v>
      </c>
      <c r="E65" s="9">
        <v>22</v>
      </c>
      <c r="F65" s="9">
        <f t="shared" si="0"/>
        <v>30</v>
      </c>
      <c r="H65" s="10">
        <v>68</v>
      </c>
      <c r="I65" s="10">
        <v>0</v>
      </c>
      <c r="J65" s="10">
        <v>89.26</v>
      </c>
      <c r="K65" s="10">
        <v>82.96</v>
      </c>
      <c r="M65" s="10">
        <v>39.667769999999997</v>
      </c>
      <c r="N65" s="10">
        <v>64.805970000000002</v>
      </c>
      <c r="O65" s="10">
        <v>57.07114</v>
      </c>
      <c r="Q65" s="10">
        <v>550.48</v>
      </c>
      <c r="R65" s="10">
        <v>787.93</v>
      </c>
      <c r="S65" s="10">
        <v>714.87</v>
      </c>
    </row>
    <row r="66" spans="1:19" x14ac:dyDescent="0.2">
      <c r="A66" s="9" t="s">
        <v>135</v>
      </c>
      <c r="B66" s="9" t="s">
        <v>136</v>
      </c>
      <c r="C66" s="9">
        <v>5</v>
      </c>
      <c r="D66" s="9">
        <v>0</v>
      </c>
      <c r="E66" s="9">
        <v>17</v>
      </c>
      <c r="F66" s="9">
        <f t="shared" si="0"/>
        <v>22</v>
      </c>
      <c r="H66" s="10">
        <v>121.5</v>
      </c>
      <c r="I66" s="10">
        <v>0</v>
      </c>
      <c r="J66" s="10">
        <v>178.5</v>
      </c>
      <c r="K66" s="10">
        <v>167.1</v>
      </c>
      <c r="M66" s="10">
        <v>160.30000000000001</v>
      </c>
      <c r="N66" s="10">
        <v>161.11904000000001</v>
      </c>
      <c r="O66" s="10">
        <v>160.95523</v>
      </c>
      <c r="Q66" s="10">
        <v>1323.17</v>
      </c>
      <c r="R66" s="10">
        <v>1055.29</v>
      </c>
      <c r="S66" s="10">
        <v>1108.8699999999999</v>
      </c>
    </row>
    <row r="67" spans="1:19" x14ac:dyDescent="0.2">
      <c r="A67" s="9" t="s">
        <v>137</v>
      </c>
      <c r="B67" s="9" t="s">
        <v>138</v>
      </c>
      <c r="C67" s="9">
        <v>5</v>
      </c>
      <c r="D67" s="9">
        <v>0</v>
      </c>
      <c r="E67" s="9">
        <v>104</v>
      </c>
      <c r="F67" s="9">
        <f t="shared" si="0"/>
        <v>109</v>
      </c>
      <c r="H67" s="10">
        <v>85</v>
      </c>
      <c r="I67" s="10">
        <v>0</v>
      </c>
      <c r="J67" s="10">
        <v>92.13</v>
      </c>
      <c r="K67" s="10">
        <v>91.79</v>
      </c>
      <c r="M67" s="10">
        <v>131.80000000000001</v>
      </c>
      <c r="N67" s="10">
        <v>171.47953000000001</v>
      </c>
      <c r="O67" s="10">
        <v>169.57185999999999</v>
      </c>
      <c r="Q67" s="10">
        <v>1702.17</v>
      </c>
      <c r="R67" s="10">
        <v>1927.32</v>
      </c>
      <c r="S67" s="10">
        <v>1916.5</v>
      </c>
    </row>
    <row r="68" spans="1:19" x14ac:dyDescent="0.2">
      <c r="A68" s="9" t="s">
        <v>139</v>
      </c>
      <c r="B68" s="9" t="s">
        <v>140</v>
      </c>
      <c r="C68" s="9">
        <v>0</v>
      </c>
      <c r="D68" s="9">
        <v>0</v>
      </c>
      <c r="E68" s="9">
        <v>69</v>
      </c>
      <c r="F68" s="9">
        <f t="shared" si="0"/>
        <v>69</v>
      </c>
      <c r="H68" s="10">
        <v>0</v>
      </c>
      <c r="I68" s="10">
        <v>0</v>
      </c>
      <c r="J68" s="10">
        <v>104.84</v>
      </c>
      <c r="K68" s="10">
        <v>104.84</v>
      </c>
      <c r="M68" s="10">
        <v>0</v>
      </c>
      <c r="N68" s="10">
        <v>136.47432999999998</v>
      </c>
      <c r="O68" s="10">
        <v>136.47432999999998</v>
      </c>
      <c r="Q68" s="10">
        <v>0</v>
      </c>
      <c r="R68" s="10">
        <v>1475.01</v>
      </c>
      <c r="S68" s="10">
        <v>1475.01</v>
      </c>
    </row>
    <row r="69" spans="1:19" x14ac:dyDescent="0.2">
      <c r="A69" s="9" t="s">
        <v>141</v>
      </c>
      <c r="B69" s="9" t="s">
        <v>142</v>
      </c>
      <c r="C69" s="9">
        <v>29</v>
      </c>
      <c r="D69" s="9">
        <v>0</v>
      </c>
      <c r="E69" s="9">
        <v>79</v>
      </c>
      <c r="F69" s="9">
        <f t="shared" si="0"/>
        <v>108</v>
      </c>
      <c r="H69" s="10">
        <v>83.85</v>
      </c>
      <c r="I69" s="10">
        <v>0</v>
      </c>
      <c r="J69" s="10">
        <v>80.42</v>
      </c>
      <c r="K69" s="10">
        <v>81.38</v>
      </c>
      <c r="M69" s="10">
        <v>293.59721000000002</v>
      </c>
      <c r="N69" s="10">
        <v>227.87649999999999</v>
      </c>
      <c r="O69" s="10">
        <v>247.16410000000002</v>
      </c>
      <c r="Q69" s="10">
        <v>3559.3</v>
      </c>
      <c r="R69" s="10">
        <v>2691.75</v>
      </c>
      <c r="S69" s="10">
        <v>2946.36</v>
      </c>
    </row>
    <row r="70" spans="1:19" x14ac:dyDescent="0.2">
      <c r="A70" s="9" t="s">
        <v>143</v>
      </c>
      <c r="B70" s="9" t="s">
        <v>144</v>
      </c>
      <c r="C70" s="9">
        <v>34</v>
      </c>
      <c r="D70" s="9">
        <v>0</v>
      </c>
      <c r="E70" s="9">
        <v>104</v>
      </c>
      <c r="F70" s="9">
        <f t="shared" ref="F70:F133" si="1">SUM(C70:E70)</f>
        <v>138</v>
      </c>
      <c r="H70" s="10">
        <v>68.41</v>
      </c>
      <c r="I70" s="10">
        <v>0</v>
      </c>
      <c r="J70" s="10">
        <v>97.42</v>
      </c>
      <c r="K70" s="10">
        <v>89.75</v>
      </c>
      <c r="M70" s="10">
        <v>83.463809999999995</v>
      </c>
      <c r="N70" s="10">
        <v>98.32186999999999</v>
      </c>
      <c r="O70" s="10">
        <v>94.292570000000012</v>
      </c>
      <c r="Q70" s="10">
        <v>1251.94</v>
      </c>
      <c r="R70" s="10">
        <v>1046.48</v>
      </c>
      <c r="S70" s="10">
        <v>1102.2</v>
      </c>
    </row>
    <row r="71" spans="1:19" x14ac:dyDescent="0.2">
      <c r="A71" s="9" t="s">
        <v>145</v>
      </c>
      <c r="B71" s="9" t="s">
        <v>146</v>
      </c>
      <c r="C71" s="9">
        <v>7</v>
      </c>
      <c r="D71" s="9">
        <v>0</v>
      </c>
      <c r="E71" s="9">
        <v>35</v>
      </c>
      <c r="F71" s="9">
        <f t="shared" si="1"/>
        <v>42</v>
      </c>
      <c r="H71" s="10">
        <v>84.67</v>
      </c>
      <c r="I71" s="10">
        <v>0</v>
      </c>
      <c r="J71" s="10">
        <v>82.75</v>
      </c>
      <c r="K71" s="10">
        <v>83.09</v>
      </c>
      <c r="M71" s="10">
        <v>154</v>
      </c>
      <c r="N71" s="10">
        <v>159.94788</v>
      </c>
      <c r="O71" s="10">
        <v>158.86645000000001</v>
      </c>
      <c r="Q71" s="10">
        <v>1888.87</v>
      </c>
      <c r="R71" s="10">
        <v>2015.78</v>
      </c>
      <c r="S71" s="10">
        <v>1992.71</v>
      </c>
    </row>
    <row r="72" spans="1:19" x14ac:dyDescent="0.2">
      <c r="A72" s="9" t="s">
        <v>147</v>
      </c>
      <c r="B72" s="9" t="s">
        <v>148</v>
      </c>
      <c r="C72" s="9">
        <v>34</v>
      </c>
      <c r="D72" s="9">
        <v>0</v>
      </c>
      <c r="E72" s="9">
        <v>26</v>
      </c>
      <c r="F72" s="9">
        <f t="shared" si="1"/>
        <v>60</v>
      </c>
      <c r="H72" s="10">
        <v>105.82</v>
      </c>
      <c r="I72" s="10">
        <v>0</v>
      </c>
      <c r="J72" s="10">
        <v>121.62</v>
      </c>
      <c r="K72" s="10">
        <v>112.78</v>
      </c>
      <c r="M72" s="10">
        <v>197.40611999999999</v>
      </c>
      <c r="N72" s="10">
        <v>164.64232999999999</v>
      </c>
      <c r="O72" s="10">
        <v>182.96784</v>
      </c>
      <c r="Q72" s="10">
        <v>2059.6999999999998</v>
      </c>
      <c r="R72" s="10">
        <v>1454.21</v>
      </c>
      <c r="S72" s="10">
        <v>1792.87</v>
      </c>
    </row>
    <row r="73" spans="1:19" x14ac:dyDescent="0.2">
      <c r="A73" s="9" t="s">
        <v>149</v>
      </c>
      <c r="B73" s="9" t="s">
        <v>150</v>
      </c>
      <c r="C73" s="9">
        <v>14</v>
      </c>
      <c r="D73" s="9">
        <v>18</v>
      </c>
      <c r="E73" s="9">
        <v>91</v>
      </c>
      <c r="F73" s="9">
        <f t="shared" si="1"/>
        <v>123</v>
      </c>
      <c r="H73" s="10">
        <v>74.42</v>
      </c>
      <c r="I73" s="10">
        <v>80.33</v>
      </c>
      <c r="J73" s="10">
        <v>84.56</v>
      </c>
      <c r="K73" s="10">
        <v>82.75</v>
      </c>
      <c r="M73" s="10">
        <v>204.01309000000001</v>
      </c>
      <c r="N73" s="10">
        <v>268.62941999999998</v>
      </c>
      <c r="O73" s="10">
        <v>259.81810000000002</v>
      </c>
      <c r="Q73" s="10">
        <v>2831.67</v>
      </c>
      <c r="R73" s="10">
        <v>2785.74</v>
      </c>
      <c r="S73" s="10">
        <v>2792</v>
      </c>
    </row>
    <row r="74" spans="1:19" x14ac:dyDescent="0.2">
      <c r="A74" s="9" t="s">
        <v>151</v>
      </c>
      <c r="B74" s="9" t="s">
        <v>152</v>
      </c>
      <c r="C74" s="9">
        <v>0</v>
      </c>
      <c r="D74" s="9">
        <v>0</v>
      </c>
      <c r="E74" s="9">
        <v>18</v>
      </c>
      <c r="F74" s="9">
        <f t="shared" si="1"/>
        <v>18</v>
      </c>
      <c r="H74" s="10">
        <v>0</v>
      </c>
      <c r="I74" s="10">
        <v>0</v>
      </c>
      <c r="J74" s="10">
        <v>119.18</v>
      </c>
      <c r="K74" s="10">
        <v>119.18</v>
      </c>
      <c r="M74" s="10">
        <v>0</v>
      </c>
      <c r="N74" s="10">
        <v>138.53735</v>
      </c>
      <c r="O74" s="10">
        <v>138.53735</v>
      </c>
      <c r="Q74" s="10">
        <v>0</v>
      </c>
      <c r="R74" s="10">
        <v>1223.6500000000001</v>
      </c>
      <c r="S74" s="10">
        <v>1223.6500000000001</v>
      </c>
    </row>
    <row r="75" spans="1:19" x14ac:dyDescent="0.2">
      <c r="A75" s="9" t="s">
        <v>153</v>
      </c>
      <c r="B75" s="9" t="s">
        <v>154</v>
      </c>
      <c r="C75" s="9">
        <v>76</v>
      </c>
      <c r="D75" s="9">
        <v>8</v>
      </c>
      <c r="E75" s="9">
        <v>221</v>
      </c>
      <c r="F75" s="9">
        <f t="shared" si="1"/>
        <v>305</v>
      </c>
      <c r="H75" s="10">
        <v>82.43</v>
      </c>
      <c r="I75" s="10">
        <v>75.2</v>
      </c>
      <c r="J75" s="10">
        <v>86.94</v>
      </c>
      <c r="K75" s="10">
        <v>85.59</v>
      </c>
      <c r="M75" s="10">
        <v>156.76155</v>
      </c>
      <c r="N75" s="10">
        <v>146.02265</v>
      </c>
      <c r="O75" s="10">
        <v>149.19228000000001</v>
      </c>
      <c r="Q75" s="10">
        <v>1941.93</v>
      </c>
      <c r="R75" s="10">
        <v>1628.99</v>
      </c>
      <c r="S75" s="10">
        <v>1721.36</v>
      </c>
    </row>
    <row r="76" spans="1:19" x14ac:dyDescent="0.2">
      <c r="A76" s="9" t="s">
        <v>155</v>
      </c>
      <c r="B76" s="9" t="s">
        <v>156</v>
      </c>
      <c r="C76" s="9">
        <v>12</v>
      </c>
      <c r="D76" s="9">
        <v>3</v>
      </c>
      <c r="E76" s="9">
        <v>145</v>
      </c>
      <c r="F76" s="9">
        <f t="shared" si="1"/>
        <v>160</v>
      </c>
      <c r="H76" s="10">
        <v>107.44</v>
      </c>
      <c r="I76" s="10">
        <v>80.5</v>
      </c>
      <c r="J76" s="10">
        <v>85.79</v>
      </c>
      <c r="K76" s="10">
        <v>87.24</v>
      </c>
      <c r="M76" s="10">
        <v>228.04086999999998</v>
      </c>
      <c r="N76" s="10">
        <v>147.64010999999999</v>
      </c>
      <c r="O76" s="10">
        <v>153.62033</v>
      </c>
      <c r="Q76" s="10">
        <v>2043.54</v>
      </c>
      <c r="R76" s="10">
        <v>1758.49</v>
      </c>
      <c r="S76" s="10">
        <v>1779.69</v>
      </c>
    </row>
    <row r="77" spans="1:19" x14ac:dyDescent="0.2">
      <c r="A77" s="9" t="s">
        <v>157</v>
      </c>
      <c r="B77" s="9" t="s">
        <v>158</v>
      </c>
      <c r="C77" s="9">
        <v>1</v>
      </c>
      <c r="D77" s="9">
        <v>0</v>
      </c>
      <c r="E77" s="9">
        <v>7</v>
      </c>
      <c r="F77" s="9">
        <f t="shared" si="1"/>
        <v>8</v>
      </c>
      <c r="H77" s="10">
        <v>104</v>
      </c>
      <c r="I77" s="10">
        <v>0</v>
      </c>
      <c r="J77" s="10">
        <v>114.71</v>
      </c>
      <c r="K77" s="10">
        <v>113.37</v>
      </c>
      <c r="M77" s="10">
        <v>0</v>
      </c>
      <c r="N77" s="10">
        <v>89.406850000000006</v>
      </c>
      <c r="O77" s="10">
        <v>88.605990000000006</v>
      </c>
      <c r="Q77" s="10">
        <v>0</v>
      </c>
      <c r="R77" s="10">
        <v>839.27</v>
      </c>
      <c r="S77" s="10">
        <v>834.12</v>
      </c>
    </row>
    <row r="78" spans="1:19" x14ac:dyDescent="0.2">
      <c r="A78" s="9" t="s">
        <v>159</v>
      </c>
      <c r="B78" s="9" t="s">
        <v>160</v>
      </c>
      <c r="C78" s="9">
        <v>118</v>
      </c>
      <c r="D78" s="9">
        <v>109</v>
      </c>
      <c r="E78" s="9">
        <v>609</v>
      </c>
      <c r="F78" s="9">
        <f t="shared" si="1"/>
        <v>836</v>
      </c>
      <c r="H78" s="10">
        <v>82.15</v>
      </c>
      <c r="I78" s="10">
        <v>82.49</v>
      </c>
      <c r="J78" s="10">
        <v>63.56</v>
      </c>
      <c r="K78" s="10">
        <v>69.180000000000007</v>
      </c>
      <c r="M78" s="10">
        <v>218.89389000000003</v>
      </c>
      <c r="N78" s="10">
        <v>132.28917999999999</v>
      </c>
      <c r="O78" s="10">
        <v>150.46352999999999</v>
      </c>
      <c r="Q78" s="10">
        <v>2728.42</v>
      </c>
      <c r="R78" s="10">
        <v>2063.4499999999998</v>
      </c>
      <c r="S78" s="10">
        <v>2203</v>
      </c>
    </row>
    <row r="79" spans="1:19" x14ac:dyDescent="0.2">
      <c r="A79" s="9" t="s">
        <v>161</v>
      </c>
      <c r="B79" s="9" t="s">
        <v>162</v>
      </c>
      <c r="C79" s="9">
        <v>9</v>
      </c>
      <c r="D79" s="9">
        <v>1</v>
      </c>
      <c r="E79" s="9">
        <v>53</v>
      </c>
      <c r="F79" s="9">
        <f t="shared" si="1"/>
        <v>63</v>
      </c>
      <c r="H79" s="10">
        <v>89</v>
      </c>
      <c r="I79" s="10">
        <v>90</v>
      </c>
      <c r="J79" s="10">
        <v>93.74</v>
      </c>
      <c r="K79" s="10">
        <v>93</v>
      </c>
      <c r="M79" s="10">
        <v>109.31874999999999</v>
      </c>
      <c r="N79" s="10">
        <v>98.114350000000002</v>
      </c>
      <c r="O79" s="10">
        <v>99.943640000000002</v>
      </c>
      <c r="Q79" s="10">
        <v>1222.48</v>
      </c>
      <c r="R79" s="10">
        <v>1026.72</v>
      </c>
      <c r="S79" s="10">
        <v>1058.68</v>
      </c>
    </row>
    <row r="80" spans="1:19" x14ac:dyDescent="0.2">
      <c r="A80" s="9" t="s">
        <v>163</v>
      </c>
      <c r="B80" s="9" t="s">
        <v>164</v>
      </c>
      <c r="C80" s="9">
        <v>6</v>
      </c>
      <c r="D80" s="9">
        <v>1</v>
      </c>
      <c r="E80" s="9">
        <v>22</v>
      </c>
      <c r="F80" s="9">
        <f t="shared" si="1"/>
        <v>29</v>
      </c>
      <c r="H80" s="10">
        <v>82.5</v>
      </c>
      <c r="I80" s="10">
        <v>65</v>
      </c>
      <c r="J80" s="10">
        <v>79.44</v>
      </c>
      <c r="K80" s="10">
        <v>79.34</v>
      </c>
      <c r="M80" s="10">
        <v>72</v>
      </c>
      <c r="N80" s="10">
        <v>145.25547</v>
      </c>
      <c r="O80" s="10">
        <v>126.94160000000001</v>
      </c>
      <c r="Q80" s="10">
        <v>1026.72</v>
      </c>
      <c r="R80" s="10">
        <v>1790.22</v>
      </c>
      <c r="S80" s="10">
        <v>1599.34</v>
      </c>
    </row>
    <row r="81" spans="1:19" x14ac:dyDescent="0.2">
      <c r="A81" s="9" t="s">
        <v>165</v>
      </c>
      <c r="B81" s="9" t="s">
        <v>166</v>
      </c>
      <c r="C81" s="9">
        <v>4</v>
      </c>
      <c r="D81" s="9">
        <v>0</v>
      </c>
      <c r="E81" s="9">
        <v>13</v>
      </c>
      <c r="F81" s="9">
        <f t="shared" si="1"/>
        <v>17</v>
      </c>
      <c r="H81" s="10">
        <v>103.75</v>
      </c>
      <c r="I81" s="10">
        <v>0</v>
      </c>
      <c r="J81" s="10">
        <v>115.36</v>
      </c>
      <c r="K81" s="10">
        <v>112.26</v>
      </c>
      <c r="M81" s="10">
        <v>116.42425</v>
      </c>
      <c r="N81" s="10">
        <v>111.73445</v>
      </c>
      <c r="O81" s="10">
        <v>113.07438999999999</v>
      </c>
      <c r="Q81" s="10">
        <v>1157.8399999999999</v>
      </c>
      <c r="R81" s="10">
        <v>1007.31</v>
      </c>
      <c r="S81" s="10">
        <v>1050.32</v>
      </c>
    </row>
    <row r="82" spans="1:19" x14ac:dyDescent="0.2">
      <c r="A82" s="9" t="s">
        <v>167</v>
      </c>
      <c r="B82" s="9" t="s">
        <v>168</v>
      </c>
      <c r="C82" s="9">
        <v>57</v>
      </c>
      <c r="D82" s="9">
        <v>20</v>
      </c>
      <c r="E82" s="9">
        <v>283</v>
      </c>
      <c r="F82" s="9">
        <f t="shared" si="1"/>
        <v>360</v>
      </c>
      <c r="H82" s="10">
        <v>95.74</v>
      </c>
      <c r="I82" s="10">
        <v>84.14</v>
      </c>
      <c r="J82" s="10">
        <v>88.5</v>
      </c>
      <c r="K82" s="10">
        <v>89.57</v>
      </c>
      <c r="M82" s="10">
        <v>98.498960000000011</v>
      </c>
      <c r="N82" s="10">
        <v>75.156369999999995</v>
      </c>
      <c r="O82" s="10">
        <v>80.584879999999998</v>
      </c>
      <c r="Q82" s="10">
        <v>930.94</v>
      </c>
      <c r="R82" s="10">
        <v>785.14</v>
      </c>
      <c r="S82" s="10">
        <v>819.05</v>
      </c>
    </row>
    <row r="83" spans="1:19" x14ac:dyDescent="0.2">
      <c r="A83" s="9" t="s">
        <v>169</v>
      </c>
      <c r="B83" s="9" t="s">
        <v>170</v>
      </c>
      <c r="C83" s="9">
        <v>4</v>
      </c>
      <c r="D83" s="9">
        <v>0</v>
      </c>
      <c r="E83" s="9">
        <v>32</v>
      </c>
      <c r="F83" s="9">
        <f t="shared" si="1"/>
        <v>36</v>
      </c>
      <c r="H83" s="10">
        <v>173.5</v>
      </c>
      <c r="I83" s="10">
        <v>0</v>
      </c>
      <c r="J83" s="10">
        <v>187.33</v>
      </c>
      <c r="K83" s="10">
        <v>185.7</v>
      </c>
      <c r="M83" s="10">
        <v>195.52427</v>
      </c>
      <c r="N83" s="10">
        <v>204.28097</v>
      </c>
      <c r="O83" s="10">
        <v>203.25076999999999</v>
      </c>
      <c r="Q83" s="10">
        <v>1205.51</v>
      </c>
      <c r="R83" s="10">
        <v>1261.32</v>
      </c>
      <c r="S83" s="10">
        <v>1254.75</v>
      </c>
    </row>
    <row r="84" spans="1:19" x14ac:dyDescent="0.2">
      <c r="A84" s="9" t="s">
        <v>171</v>
      </c>
      <c r="B84" s="9" t="s">
        <v>172</v>
      </c>
      <c r="C84" s="9">
        <v>3</v>
      </c>
      <c r="D84" s="9">
        <v>0</v>
      </c>
      <c r="E84" s="9">
        <v>9</v>
      </c>
      <c r="F84" s="9">
        <f t="shared" si="1"/>
        <v>12</v>
      </c>
      <c r="H84" s="10">
        <v>225.33</v>
      </c>
      <c r="I84" s="10">
        <v>0</v>
      </c>
      <c r="J84" s="10">
        <v>161.66999999999999</v>
      </c>
      <c r="K84" s="10">
        <v>177.58</v>
      </c>
      <c r="M84" s="10">
        <v>220</v>
      </c>
      <c r="N84" s="10">
        <v>210.88889</v>
      </c>
      <c r="O84" s="10">
        <v>213.16667000000001</v>
      </c>
      <c r="Q84" s="10">
        <v>1018.2</v>
      </c>
      <c r="R84" s="10">
        <v>1411.36</v>
      </c>
      <c r="S84" s="10">
        <v>1313.06</v>
      </c>
    </row>
    <row r="85" spans="1:19" x14ac:dyDescent="0.2">
      <c r="A85" s="9" t="s">
        <v>173</v>
      </c>
      <c r="B85" s="9" t="s">
        <v>174</v>
      </c>
      <c r="C85" s="9">
        <v>1</v>
      </c>
      <c r="D85" s="9">
        <v>0</v>
      </c>
      <c r="E85" s="9">
        <v>21</v>
      </c>
      <c r="F85" s="9">
        <f t="shared" si="1"/>
        <v>22</v>
      </c>
      <c r="H85" s="10">
        <v>100</v>
      </c>
      <c r="I85" s="10">
        <v>0</v>
      </c>
      <c r="J85" s="10">
        <v>124.15</v>
      </c>
      <c r="K85" s="10">
        <v>123</v>
      </c>
      <c r="M85" s="10">
        <v>0</v>
      </c>
      <c r="N85" s="10">
        <v>185.63754</v>
      </c>
      <c r="O85" s="10">
        <v>185.25004000000001</v>
      </c>
      <c r="Q85" s="10">
        <v>0</v>
      </c>
      <c r="R85" s="10">
        <v>1572.45</v>
      </c>
      <c r="S85" s="10">
        <v>1582.1</v>
      </c>
    </row>
    <row r="86" spans="1:19" x14ac:dyDescent="0.2">
      <c r="A86" s="9" t="s">
        <v>175</v>
      </c>
      <c r="B86" s="9" t="s">
        <v>176</v>
      </c>
      <c r="C86" s="9">
        <v>3</v>
      </c>
      <c r="D86" s="9">
        <v>0</v>
      </c>
      <c r="E86" s="9">
        <v>140</v>
      </c>
      <c r="F86" s="9">
        <f t="shared" si="1"/>
        <v>143</v>
      </c>
      <c r="H86" s="10">
        <v>147</v>
      </c>
      <c r="I86" s="10">
        <v>0</v>
      </c>
      <c r="J86" s="10">
        <v>83.68</v>
      </c>
      <c r="K86" s="10">
        <v>84.17</v>
      </c>
      <c r="M86" s="10">
        <v>110</v>
      </c>
      <c r="N86" s="10">
        <v>145.91420000000002</v>
      </c>
      <c r="O86" s="10">
        <v>145.63141000000002</v>
      </c>
      <c r="Q86" s="10">
        <v>748.3</v>
      </c>
      <c r="R86" s="10">
        <v>1759.92</v>
      </c>
      <c r="S86" s="10">
        <v>1751.95</v>
      </c>
    </row>
    <row r="87" spans="1:19" x14ac:dyDescent="0.2">
      <c r="A87" s="9" t="s">
        <v>177</v>
      </c>
      <c r="B87" s="9" t="s">
        <v>178</v>
      </c>
      <c r="C87" s="9">
        <v>4</v>
      </c>
      <c r="D87" s="9">
        <v>0</v>
      </c>
      <c r="E87" s="9">
        <v>19</v>
      </c>
      <c r="F87" s="9">
        <f t="shared" si="1"/>
        <v>23</v>
      </c>
      <c r="H87" s="10">
        <v>81</v>
      </c>
      <c r="I87" s="10">
        <v>0</v>
      </c>
      <c r="J87" s="10">
        <v>132.82</v>
      </c>
      <c r="K87" s="10">
        <v>125.05</v>
      </c>
      <c r="M87" s="10">
        <v>96.166669999999996</v>
      </c>
      <c r="N87" s="10">
        <v>119.15291999999999</v>
      </c>
      <c r="O87" s="10">
        <v>115.70497999999999</v>
      </c>
      <c r="Q87" s="10">
        <v>1273.04</v>
      </c>
      <c r="R87" s="10">
        <v>999.61</v>
      </c>
      <c r="S87" s="10">
        <v>1040.6199999999999</v>
      </c>
    </row>
    <row r="88" spans="1:19" x14ac:dyDescent="0.2">
      <c r="A88" s="9" t="s">
        <v>179</v>
      </c>
      <c r="B88" s="9" t="s">
        <v>180</v>
      </c>
      <c r="C88" s="9">
        <v>15</v>
      </c>
      <c r="D88" s="9">
        <v>0</v>
      </c>
      <c r="E88" s="9">
        <v>35</v>
      </c>
      <c r="F88" s="9">
        <f t="shared" si="1"/>
        <v>50</v>
      </c>
      <c r="H88" s="10">
        <v>92.09</v>
      </c>
      <c r="I88" s="10">
        <v>0</v>
      </c>
      <c r="J88" s="10">
        <v>81.680000000000007</v>
      </c>
      <c r="K88" s="10">
        <v>84.22</v>
      </c>
      <c r="M88" s="10">
        <v>133.87726999999998</v>
      </c>
      <c r="N88" s="10">
        <v>110.31360000000001</v>
      </c>
      <c r="O88" s="10">
        <v>116.20452</v>
      </c>
      <c r="Q88" s="10">
        <v>1606.87</v>
      </c>
      <c r="R88" s="10">
        <v>1401.55</v>
      </c>
      <c r="S88" s="10">
        <v>1452.88</v>
      </c>
    </row>
    <row r="89" spans="1:19" x14ac:dyDescent="0.2">
      <c r="A89" s="9" t="s">
        <v>181</v>
      </c>
      <c r="B89" s="9" t="s">
        <v>182</v>
      </c>
      <c r="C89" s="9">
        <v>2</v>
      </c>
      <c r="D89" s="9">
        <v>0</v>
      </c>
      <c r="E89" s="9">
        <v>37</v>
      </c>
      <c r="F89" s="9">
        <f t="shared" si="1"/>
        <v>39</v>
      </c>
      <c r="H89" s="10">
        <v>97.5</v>
      </c>
      <c r="I89" s="10">
        <v>0</v>
      </c>
      <c r="J89" s="10">
        <v>107.85</v>
      </c>
      <c r="K89" s="10">
        <v>107.26</v>
      </c>
      <c r="M89" s="10">
        <v>0</v>
      </c>
      <c r="N89" s="10">
        <v>80.556449999999998</v>
      </c>
      <c r="O89" s="10">
        <v>80.296080000000003</v>
      </c>
      <c r="Q89" s="10">
        <v>0</v>
      </c>
      <c r="R89" s="10">
        <v>787.92</v>
      </c>
      <c r="S89" s="10">
        <v>792.47</v>
      </c>
    </row>
    <row r="90" spans="1:19" x14ac:dyDescent="0.2">
      <c r="A90" s="9" t="s">
        <v>183</v>
      </c>
      <c r="B90" s="9" t="s">
        <v>184</v>
      </c>
      <c r="C90" s="9">
        <v>79</v>
      </c>
      <c r="D90" s="9">
        <v>4</v>
      </c>
      <c r="E90" s="9">
        <v>166</v>
      </c>
      <c r="F90" s="9">
        <f t="shared" si="1"/>
        <v>249</v>
      </c>
      <c r="H90" s="10">
        <v>82.55</v>
      </c>
      <c r="I90" s="10">
        <v>82</v>
      </c>
      <c r="J90" s="10">
        <v>91.01</v>
      </c>
      <c r="K90" s="10">
        <v>88.2</v>
      </c>
      <c r="M90" s="10">
        <v>82.943509999999989</v>
      </c>
      <c r="N90" s="10">
        <v>87.342089999999999</v>
      </c>
      <c r="O90" s="10">
        <v>85.948869999999999</v>
      </c>
      <c r="Q90" s="10">
        <v>1102.3900000000001</v>
      </c>
      <c r="R90" s="10">
        <v>941.73</v>
      </c>
      <c r="S90" s="10">
        <v>992.62</v>
      </c>
    </row>
    <row r="91" spans="1:19" x14ac:dyDescent="0.2">
      <c r="A91" s="9" t="s">
        <v>185</v>
      </c>
      <c r="B91" s="9" t="s">
        <v>186</v>
      </c>
      <c r="C91" s="9">
        <v>0</v>
      </c>
      <c r="D91" s="9">
        <v>0</v>
      </c>
      <c r="E91" s="9">
        <v>54</v>
      </c>
      <c r="F91" s="9">
        <f t="shared" si="1"/>
        <v>54</v>
      </c>
      <c r="H91" s="10">
        <v>0</v>
      </c>
      <c r="I91" s="10">
        <v>0</v>
      </c>
      <c r="J91" s="10">
        <v>100.2</v>
      </c>
      <c r="K91" s="10">
        <v>100.2</v>
      </c>
      <c r="M91" s="10">
        <v>0</v>
      </c>
      <c r="N91" s="10">
        <v>132.96848</v>
      </c>
      <c r="O91" s="10">
        <v>132.96848</v>
      </c>
      <c r="Q91" s="10">
        <v>0</v>
      </c>
      <c r="R91" s="10">
        <v>1386.99</v>
      </c>
      <c r="S91" s="10">
        <v>1386.99</v>
      </c>
    </row>
    <row r="92" spans="1:19" x14ac:dyDescent="0.2">
      <c r="A92" s="9" t="s">
        <v>187</v>
      </c>
      <c r="B92" s="9" t="s">
        <v>188</v>
      </c>
      <c r="C92" s="9">
        <v>5</v>
      </c>
      <c r="D92" s="9">
        <v>0</v>
      </c>
      <c r="E92" s="9">
        <v>41</v>
      </c>
      <c r="F92" s="9">
        <f t="shared" si="1"/>
        <v>46</v>
      </c>
      <c r="H92" s="10">
        <v>72</v>
      </c>
      <c r="I92" s="10">
        <v>0</v>
      </c>
      <c r="J92" s="10">
        <v>104.1</v>
      </c>
      <c r="K92" s="10">
        <v>100.61</v>
      </c>
      <c r="M92" s="10">
        <v>203</v>
      </c>
      <c r="N92" s="10">
        <v>259.41021999999998</v>
      </c>
      <c r="O92" s="10">
        <v>253.27867000000001</v>
      </c>
      <c r="Q92" s="10">
        <v>3173.66</v>
      </c>
      <c r="R92" s="10">
        <v>2598.7199999999998</v>
      </c>
      <c r="S92" s="10">
        <v>2661.21</v>
      </c>
    </row>
    <row r="93" spans="1:19" x14ac:dyDescent="0.2">
      <c r="A93" s="9" t="s">
        <v>189</v>
      </c>
      <c r="B93" s="9" t="s">
        <v>190</v>
      </c>
      <c r="C93" s="9">
        <v>6</v>
      </c>
      <c r="D93" s="9">
        <v>0</v>
      </c>
      <c r="E93" s="9">
        <v>15</v>
      </c>
      <c r="F93" s="9">
        <f t="shared" si="1"/>
        <v>21</v>
      </c>
      <c r="H93" s="10">
        <v>107</v>
      </c>
      <c r="I93" s="10">
        <v>0</v>
      </c>
      <c r="J93" s="10">
        <v>142</v>
      </c>
      <c r="K93" s="10">
        <v>132.79</v>
      </c>
      <c r="M93" s="10">
        <v>137.25200000000001</v>
      </c>
      <c r="N93" s="10">
        <v>153.36054000000001</v>
      </c>
      <c r="O93" s="10">
        <v>149.12145000000001</v>
      </c>
      <c r="Q93" s="10">
        <v>1496.43</v>
      </c>
      <c r="R93" s="10">
        <v>1165.3599999999999</v>
      </c>
      <c r="S93" s="10">
        <v>1252.48</v>
      </c>
    </row>
    <row r="94" spans="1:19" x14ac:dyDescent="0.2">
      <c r="A94" s="9" t="s">
        <v>191</v>
      </c>
      <c r="B94" s="9" t="s">
        <v>192</v>
      </c>
      <c r="C94" s="9">
        <v>0</v>
      </c>
      <c r="D94" s="9">
        <v>0</v>
      </c>
      <c r="E94" s="9">
        <v>11</v>
      </c>
      <c r="F94" s="9">
        <f t="shared" si="1"/>
        <v>11</v>
      </c>
      <c r="H94" s="10">
        <v>0</v>
      </c>
      <c r="I94" s="10">
        <v>0</v>
      </c>
      <c r="J94" s="10">
        <v>211</v>
      </c>
      <c r="K94" s="10">
        <v>211</v>
      </c>
      <c r="M94" s="10">
        <v>0</v>
      </c>
      <c r="N94" s="10">
        <v>514.37</v>
      </c>
      <c r="O94" s="10">
        <v>514.37</v>
      </c>
      <c r="Q94" s="10">
        <v>0</v>
      </c>
      <c r="R94" s="10">
        <v>2851.17</v>
      </c>
      <c r="S94" s="10">
        <v>2851.17</v>
      </c>
    </row>
    <row r="95" spans="1:19" x14ac:dyDescent="0.2">
      <c r="A95" s="9" t="s">
        <v>193</v>
      </c>
      <c r="B95" s="9" t="s">
        <v>194</v>
      </c>
      <c r="C95" s="9">
        <v>36</v>
      </c>
      <c r="D95" s="9">
        <v>0</v>
      </c>
      <c r="E95" s="9">
        <v>239</v>
      </c>
      <c r="F95" s="9">
        <f t="shared" si="1"/>
        <v>275</v>
      </c>
      <c r="H95" s="10">
        <v>103.24</v>
      </c>
      <c r="I95" s="10">
        <v>0</v>
      </c>
      <c r="J95" s="10">
        <v>83.94</v>
      </c>
      <c r="K95" s="10">
        <v>86.36</v>
      </c>
      <c r="M95" s="10">
        <v>179.34807999999998</v>
      </c>
      <c r="N95" s="10">
        <v>144.77254000000002</v>
      </c>
      <c r="O95" s="10">
        <v>149.16096999999999</v>
      </c>
      <c r="Q95" s="10">
        <v>1689.99</v>
      </c>
      <c r="R95" s="10">
        <v>1687.46</v>
      </c>
      <c r="S95" s="10">
        <v>1687.78</v>
      </c>
    </row>
    <row r="96" spans="1:19" x14ac:dyDescent="0.2">
      <c r="A96" s="9" t="s">
        <v>195</v>
      </c>
      <c r="B96" s="9" t="s">
        <v>196</v>
      </c>
      <c r="C96" s="9">
        <v>2</v>
      </c>
      <c r="D96" s="9">
        <v>0</v>
      </c>
      <c r="E96" s="9">
        <v>10</v>
      </c>
      <c r="F96" s="9">
        <f t="shared" si="1"/>
        <v>12</v>
      </c>
      <c r="H96" s="10">
        <v>135.5</v>
      </c>
      <c r="I96" s="10">
        <v>0</v>
      </c>
      <c r="J96" s="10">
        <v>99.44</v>
      </c>
      <c r="K96" s="10">
        <v>106</v>
      </c>
      <c r="M96" s="10">
        <v>0</v>
      </c>
      <c r="N96" s="10">
        <v>87.3</v>
      </c>
      <c r="O96" s="10">
        <v>115.15455</v>
      </c>
      <c r="Q96" s="10">
        <v>0</v>
      </c>
      <c r="R96" s="10">
        <v>940.9</v>
      </c>
      <c r="S96" s="10">
        <v>1080.1300000000001</v>
      </c>
    </row>
    <row r="97" spans="1:19" x14ac:dyDescent="0.2">
      <c r="A97" s="9" t="s">
        <v>197</v>
      </c>
      <c r="B97" s="9" t="s">
        <v>198</v>
      </c>
      <c r="C97" s="9">
        <v>12</v>
      </c>
      <c r="D97" s="9">
        <v>0</v>
      </c>
      <c r="E97" s="9">
        <v>47</v>
      </c>
      <c r="F97" s="9">
        <f t="shared" si="1"/>
        <v>59</v>
      </c>
      <c r="H97" s="10">
        <v>99.42</v>
      </c>
      <c r="I97" s="10">
        <v>0</v>
      </c>
      <c r="J97" s="10">
        <v>92.49</v>
      </c>
      <c r="K97" s="10">
        <v>94.06</v>
      </c>
      <c r="M97" s="10">
        <v>222.68902</v>
      </c>
      <c r="N97" s="10">
        <v>185.70747</v>
      </c>
      <c r="O97" s="10">
        <v>194.08064999999999</v>
      </c>
      <c r="Q97" s="10">
        <v>2452.9</v>
      </c>
      <c r="R97" s="10">
        <v>2062.81</v>
      </c>
      <c r="S97" s="10">
        <v>2151.13</v>
      </c>
    </row>
    <row r="98" spans="1:19" x14ac:dyDescent="0.2">
      <c r="A98" s="9" t="s">
        <v>199</v>
      </c>
      <c r="B98" s="9" t="s">
        <v>200</v>
      </c>
      <c r="C98" s="9">
        <v>6</v>
      </c>
      <c r="D98" s="9">
        <v>1</v>
      </c>
      <c r="E98" s="9">
        <v>42</v>
      </c>
      <c r="F98" s="9">
        <f t="shared" si="1"/>
        <v>49</v>
      </c>
      <c r="H98" s="10">
        <v>140.33000000000001</v>
      </c>
      <c r="I98" s="10">
        <v>0</v>
      </c>
      <c r="J98" s="10">
        <v>91.91</v>
      </c>
      <c r="K98" s="10">
        <v>99.17</v>
      </c>
      <c r="M98" s="10">
        <v>77.166669999999996</v>
      </c>
      <c r="N98" s="10">
        <v>57.177500000000002</v>
      </c>
      <c r="O98" s="10">
        <v>60.418990000000001</v>
      </c>
      <c r="Q98" s="10">
        <v>518</v>
      </c>
      <c r="R98" s="10">
        <v>620.54</v>
      </c>
      <c r="S98" s="10">
        <v>603.91</v>
      </c>
    </row>
    <row r="99" spans="1:19" x14ac:dyDescent="0.2">
      <c r="A99" s="9" t="s">
        <v>201</v>
      </c>
      <c r="B99" s="9" t="s">
        <v>202</v>
      </c>
      <c r="C99" s="9">
        <v>15</v>
      </c>
      <c r="D99" s="9">
        <v>0</v>
      </c>
      <c r="E99" s="9">
        <v>91</v>
      </c>
      <c r="F99" s="9">
        <f t="shared" si="1"/>
        <v>106</v>
      </c>
      <c r="H99" s="10">
        <v>96.27</v>
      </c>
      <c r="I99" s="10">
        <v>0</v>
      </c>
      <c r="J99" s="10">
        <v>83.88</v>
      </c>
      <c r="K99" s="10">
        <v>85.33</v>
      </c>
      <c r="M99" s="10">
        <v>119.70455</v>
      </c>
      <c r="N99" s="10">
        <v>140.44748999999999</v>
      </c>
      <c r="O99" s="10">
        <v>137.69843</v>
      </c>
      <c r="Q99" s="10">
        <v>1439.23</v>
      </c>
      <c r="R99" s="10">
        <v>1784</v>
      </c>
      <c r="S99" s="10">
        <v>1738.31</v>
      </c>
    </row>
    <row r="100" spans="1:19" x14ac:dyDescent="0.2">
      <c r="A100" s="9" t="s">
        <v>203</v>
      </c>
      <c r="B100" s="9" t="s">
        <v>204</v>
      </c>
      <c r="C100" s="9">
        <v>0</v>
      </c>
      <c r="D100" s="9">
        <v>1</v>
      </c>
      <c r="E100" s="9">
        <v>12</v>
      </c>
      <c r="F100" s="9">
        <f t="shared" si="1"/>
        <v>13</v>
      </c>
      <c r="H100" s="10">
        <v>0</v>
      </c>
      <c r="I100" s="10">
        <v>88</v>
      </c>
      <c r="J100" s="10">
        <v>108.55</v>
      </c>
      <c r="K100" s="10">
        <v>106.84</v>
      </c>
      <c r="M100" s="10">
        <v>0</v>
      </c>
      <c r="N100" s="10">
        <v>87.126499999999993</v>
      </c>
      <c r="O100" s="10">
        <v>87.126499999999993</v>
      </c>
      <c r="Q100" s="10">
        <v>0</v>
      </c>
      <c r="R100" s="10">
        <v>788.91</v>
      </c>
      <c r="S100" s="10">
        <v>788.91</v>
      </c>
    </row>
    <row r="101" spans="1:19" x14ac:dyDescent="0.2">
      <c r="A101" s="9" t="s">
        <v>205</v>
      </c>
      <c r="B101" s="9" t="s">
        <v>206</v>
      </c>
      <c r="C101" s="9">
        <v>40</v>
      </c>
      <c r="D101" s="9">
        <v>2</v>
      </c>
      <c r="E101" s="9">
        <v>97</v>
      </c>
      <c r="F101" s="9">
        <f t="shared" si="1"/>
        <v>139</v>
      </c>
      <c r="H101" s="10">
        <v>107.95</v>
      </c>
      <c r="I101" s="10">
        <v>77.5</v>
      </c>
      <c r="J101" s="10">
        <v>85.56</v>
      </c>
      <c r="K101" s="10">
        <v>92.17</v>
      </c>
      <c r="M101" s="10">
        <v>147.5728</v>
      </c>
      <c r="N101" s="10">
        <v>119.38621000000001</v>
      </c>
      <c r="O101" s="10">
        <v>128.19452000000001</v>
      </c>
      <c r="Q101" s="10">
        <v>1401.37</v>
      </c>
      <c r="R101" s="10">
        <v>1375.19</v>
      </c>
      <c r="S101" s="10">
        <v>1383.37</v>
      </c>
    </row>
    <row r="102" spans="1:19" x14ac:dyDescent="0.2">
      <c r="A102" s="9" t="s">
        <v>207</v>
      </c>
      <c r="B102" s="9" t="s">
        <v>208</v>
      </c>
      <c r="C102" s="9">
        <v>3</v>
      </c>
      <c r="D102" s="9">
        <v>21</v>
      </c>
      <c r="E102" s="9">
        <v>26</v>
      </c>
      <c r="F102" s="9">
        <f t="shared" si="1"/>
        <v>50</v>
      </c>
      <c r="H102" s="10">
        <v>81</v>
      </c>
      <c r="I102" s="10">
        <v>92.81</v>
      </c>
      <c r="J102" s="10">
        <v>95.96</v>
      </c>
      <c r="K102" s="10">
        <v>93.65</v>
      </c>
      <c r="M102" s="10">
        <v>179.8</v>
      </c>
      <c r="N102" s="10">
        <v>231.62998999999999</v>
      </c>
      <c r="O102" s="10">
        <v>225.65380999999999</v>
      </c>
      <c r="Q102" s="10">
        <v>2304.3000000000002</v>
      </c>
      <c r="R102" s="10">
        <v>2437.46</v>
      </c>
      <c r="S102" s="10">
        <v>2422.1</v>
      </c>
    </row>
    <row r="103" spans="1:19" x14ac:dyDescent="0.2">
      <c r="A103" s="9" t="s">
        <v>209</v>
      </c>
      <c r="B103" s="9" t="s">
        <v>210</v>
      </c>
      <c r="C103" s="9">
        <v>5</v>
      </c>
      <c r="D103" s="9">
        <v>0</v>
      </c>
      <c r="E103" s="9">
        <v>9</v>
      </c>
      <c r="F103" s="9">
        <f t="shared" si="1"/>
        <v>14</v>
      </c>
      <c r="H103" s="10">
        <v>71.8</v>
      </c>
      <c r="I103" s="10">
        <v>0</v>
      </c>
      <c r="J103" s="10">
        <v>83.89</v>
      </c>
      <c r="K103" s="10">
        <v>79.569999999999993</v>
      </c>
      <c r="M103" s="10">
        <v>81.2</v>
      </c>
      <c r="N103" s="10">
        <v>119.56444</v>
      </c>
      <c r="O103" s="10">
        <v>105.86285000000001</v>
      </c>
      <c r="Q103" s="10">
        <v>1107.51</v>
      </c>
      <c r="R103" s="10">
        <v>1465.68</v>
      </c>
      <c r="S103" s="10">
        <v>1337.76</v>
      </c>
    </row>
    <row r="104" spans="1:19" x14ac:dyDescent="0.2">
      <c r="A104" s="9" t="s">
        <v>211</v>
      </c>
      <c r="B104" s="9" t="s">
        <v>212</v>
      </c>
      <c r="C104" s="9">
        <v>3</v>
      </c>
      <c r="D104" s="9">
        <v>0</v>
      </c>
      <c r="E104" s="9">
        <v>25</v>
      </c>
      <c r="F104" s="9">
        <f t="shared" si="1"/>
        <v>28</v>
      </c>
      <c r="H104" s="10">
        <v>85.33</v>
      </c>
      <c r="I104" s="10">
        <v>0</v>
      </c>
      <c r="J104" s="10">
        <v>74.900000000000006</v>
      </c>
      <c r="K104" s="10">
        <v>76.260000000000005</v>
      </c>
      <c r="M104" s="10">
        <v>129.5</v>
      </c>
      <c r="N104" s="10">
        <v>121.89152</v>
      </c>
      <c r="O104" s="10">
        <v>123.03778999999999</v>
      </c>
      <c r="Q104" s="10">
        <v>1613.2</v>
      </c>
      <c r="R104" s="10">
        <v>1586.98</v>
      </c>
      <c r="S104" s="10">
        <v>1590.92</v>
      </c>
    </row>
    <row r="105" spans="1:19" x14ac:dyDescent="0.2">
      <c r="A105" s="9" t="s">
        <v>213</v>
      </c>
      <c r="B105" s="9" t="s">
        <v>214</v>
      </c>
      <c r="C105" s="9">
        <v>0</v>
      </c>
      <c r="D105" s="9">
        <v>0</v>
      </c>
      <c r="E105" s="9">
        <v>122</v>
      </c>
      <c r="F105" s="9">
        <f t="shared" si="1"/>
        <v>122</v>
      </c>
      <c r="H105" s="10">
        <v>0</v>
      </c>
      <c r="I105" s="10">
        <v>0</v>
      </c>
      <c r="J105" s="10">
        <v>93.97</v>
      </c>
      <c r="K105" s="10">
        <v>93.97</v>
      </c>
      <c r="M105" s="10">
        <v>0</v>
      </c>
      <c r="N105" s="10">
        <v>124.33499</v>
      </c>
      <c r="O105" s="10">
        <v>124.33499</v>
      </c>
      <c r="Q105" s="10">
        <v>0</v>
      </c>
      <c r="R105" s="10">
        <v>1446.08</v>
      </c>
      <c r="S105" s="10">
        <v>1446.08</v>
      </c>
    </row>
    <row r="106" spans="1:19" x14ac:dyDescent="0.2">
      <c r="A106" s="9" t="s">
        <v>215</v>
      </c>
      <c r="B106" s="9" t="s">
        <v>216</v>
      </c>
      <c r="C106" s="9">
        <v>2</v>
      </c>
      <c r="D106" s="9">
        <v>0</v>
      </c>
      <c r="E106" s="9">
        <v>12</v>
      </c>
      <c r="F106" s="9">
        <f t="shared" si="1"/>
        <v>14</v>
      </c>
      <c r="H106" s="10">
        <v>26</v>
      </c>
      <c r="I106" s="10">
        <v>0</v>
      </c>
      <c r="J106" s="10">
        <v>91</v>
      </c>
      <c r="K106" s="10">
        <v>82.87</v>
      </c>
      <c r="M106" s="10">
        <v>0</v>
      </c>
      <c r="N106" s="10">
        <v>42.73498</v>
      </c>
      <c r="O106" s="10">
        <v>42.39311</v>
      </c>
      <c r="Q106" s="10">
        <v>0</v>
      </c>
      <c r="R106" s="10">
        <v>497.55</v>
      </c>
      <c r="S106" s="10">
        <v>627.66</v>
      </c>
    </row>
    <row r="107" spans="1:19" x14ac:dyDescent="0.2">
      <c r="A107" s="9" t="s">
        <v>217</v>
      </c>
      <c r="B107" s="9" t="s">
        <v>218</v>
      </c>
      <c r="C107" s="9">
        <v>2</v>
      </c>
      <c r="D107" s="9">
        <v>0</v>
      </c>
      <c r="E107" s="9">
        <v>2</v>
      </c>
      <c r="F107" s="9">
        <f t="shared" si="1"/>
        <v>4</v>
      </c>
      <c r="H107" s="10">
        <v>151</v>
      </c>
      <c r="I107" s="10">
        <v>0</v>
      </c>
      <c r="J107" s="10">
        <v>95</v>
      </c>
      <c r="K107" s="10">
        <v>113.67</v>
      </c>
      <c r="M107" s="10">
        <v>0</v>
      </c>
      <c r="N107" s="10">
        <v>0</v>
      </c>
      <c r="O107" s="10">
        <v>0</v>
      </c>
      <c r="Q107" s="10">
        <v>0</v>
      </c>
      <c r="R107" s="10">
        <v>0</v>
      </c>
      <c r="S107" s="10">
        <v>0</v>
      </c>
    </row>
    <row r="108" spans="1:19" x14ac:dyDescent="0.2">
      <c r="A108" s="9" t="s">
        <v>219</v>
      </c>
      <c r="B108" s="9" t="s">
        <v>220</v>
      </c>
      <c r="C108" s="9">
        <v>3</v>
      </c>
      <c r="D108" s="9">
        <v>1</v>
      </c>
      <c r="E108" s="9">
        <v>3</v>
      </c>
      <c r="F108" s="9">
        <f t="shared" si="1"/>
        <v>7</v>
      </c>
      <c r="H108" s="10">
        <v>97</v>
      </c>
      <c r="I108" s="10">
        <v>37</v>
      </c>
      <c r="J108" s="10">
        <v>42</v>
      </c>
      <c r="K108" s="10">
        <v>63</v>
      </c>
      <c r="M108" s="10">
        <v>66</v>
      </c>
      <c r="N108" s="10">
        <v>144.5</v>
      </c>
      <c r="O108" s="10">
        <v>105.25</v>
      </c>
      <c r="Q108" s="10">
        <v>655.97</v>
      </c>
      <c r="R108" s="10">
        <v>3477.27</v>
      </c>
      <c r="S108" s="10">
        <v>2066.62</v>
      </c>
    </row>
    <row r="109" spans="1:19" x14ac:dyDescent="0.2">
      <c r="A109" s="9" t="s">
        <v>221</v>
      </c>
      <c r="B109" s="9" t="s">
        <v>222</v>
      </c>
      <c r="C109" s="9">
        <v>0</v>
      </c>
      <c r="D109" s="9">
        <v>0</v>
      </c>
      <c r="E109" s="9">
        <v>59</v>
      </c>
      <c r="F109" s="9">
        <f t="shared" si="1"/>
        <v>59</v>
      </c>
      <c r="H109" s="10">
        <v>0</v>
      </c>
      <c r="I109" s="10">
        <v>0</v>
      </c>
      <c r="J109" s="10">
        <v>82.89</v>
      </c>
      <c r="K109" s="10">
        <v>82.89</v>
      </c>
      <c r="M109" s="10">
        <v>0</v>
      </c>
      <c r="N109" s="10">
        <v>121.77746</v>
      </c>
      <c r="O109" s="10">
        <v>121.77746</v>
      </c>
      <c r="Q109" s="10">
        <v>0</v>
      </c>
      <c r="R109" s="10">
        <v>1496.33</v>
      </c>
      <c r="S109" s="10">
        <v>1496.33</v>
      </c>
    </row>
    <row r="110" spans="1:19" x14ac:dyDescent="0.2">
      <c r="A110" s="9" t="s">
        <v>223</v>
      </c>
      <c r="B110" s="9" t="s">
        <v>224</v>
      </c>
      <c r="C110" s="9">
        <v>91</v>
      </c>
      <c r="D110" s="9">
        <v>4</v>
      </c>
      <c r="E110" s="9">
        <v>59</v>
      </c>
      <c r="F110" s="9">
        <f t="shared" si="1"/>
        <v>154</v>
      </c>
      <c r="H110" s="10">
        <v>75.13</v>
      </c>
      <c r="I110" s="10">
        <v>78.25</v>
      </c>
      <c r="J110" s="10">
        <v>91.21</v>
      </c>
      <c r="K110" s="10">
        <v>84.39</v>
      </c>
      <c r="M110" s="10">
        <v>82.580919999999992</v>
      </c>
      <c r="N110" s="10">
        <v>103.52344000000001</v>
      </c>
      <c r="O110" s="10">
        <v>94.343159999999997</v>
      </c>
      <c r="Q110" s="10">
        <v>1176.2</v>
      </c>
      <c r="R110" s="10">
        <v>1230.95</v>
      </c>
      <c r="S110" s="10">
        <v>1206.95</v>
      </c>
    </row>
    <row r="111" spans="1:19" x14ac:dyDescent="0.2">
      <c r="A111" s="9" t="s">
        <v>225</v>
      </c>
      <c r="B111" s="9" t="s">
        <v>226</v>
      </c>
      <c r="C111" s="9">
        <v>1</v>
      </c>
      <c r="D111" s="9">
        <v>0</v>
      </c>
      <c r="E111" s="9">
        <v>16</v>
      </c>
      <c r="F111" s="9">
        <f t="shared" si="1"/>
        <v>17</v>
      </c>
      <c r="H111" s="10">
        <v>287</v>
      </c>
      <c r="I111" s="10">
        <v>0</v>
      </c>
      <c r="J111" s="10">
        <v>99.5</v>
      </c>
      <c r="K111" s="10">
        <v>110.53</v>
      </c>
      <c r="M111" s="10">
        <v>0</v>
      </c>
      <c r="N111" s="10">
        <v>97.865380000000002</v>
      </c>
      <c r="O111" s="10">
        <v>107.99095</v>
      </c>
      <c r="Q111" s="10">
        <v>0</v>
      </c>
      <c r="R111" s="10">
        <v>1128.47</v>
      </c>
      <c r="S111" s="10">
        <v>1117.43</v>
      </c>
    </row>
    <row r="112" spans="1:19" x14ac:dyDescent="0.2">
      <c r="A112" s="9" t="s">
        <v>227</v>
      </c>
      <c r="B112" s="9" t="s">
        <v>228</v>
      </c>
      <c r="C112" s="9">
        <v>23</v>
      </c>
      <c r="D112" s="9">
        <v>0</v>
      </c>
      <c r="E112" s="9">
        <v>115</v>
      </c>
      <c r="F112" s="9">
        <f t="shared" si="1"/>
        <v>138</v>
      </c>
      <c r="H112" s="10">
        <v>118</v>
      </c>
      <c r="I112" s="10">
        <v>0</v>
      </c>
      <c r="J112" s="10">
        <v>96.98</v>
      </c>
      <c r="K112" s="10">
        <v>100.24</v>
      </c>
      <c r="M112" s="10">
        <v>348.20299999999997</v>
      </c>
      <c r="N112" s="10">
        <v>157.06380999999999</v>
      </c>
      <c r="O112" s="10">
        <v>187.40335999999999</v>
      </c>
      <c r="Q112" s="10">
        <v>2758.43</v>
      </c>
      <c r="R112" s="10">
        <v>1806.26</v>
      </c>
      <c r="S112" s="10">
        <v>1957.4</v>
      </c>
    </row>
    <row r="113" spans="1:19" x14ac:dyDescent="0.2">
      <c r="A113" s="9" t="s">
        <v>229</v>
      </c>
      <c r="B113" s="9" t="s">
        <v>230</v>
      </c>
      <c r="C113" s="9">
        <v>6</v>
      </c>
      <c r="D113" s="9">
        <v>0</v>
      </c>
      <c r="E113" s="9">
        <v>63</v>
      </c>
      <c r="F113" s="9">
        <f t="shared" si="1"/>
        <v>69</v>
      </c>
      <c r="H113" s="10">
        <v>85</v>
      </c>
      <c r="I113" s="10">
        <v>0</v>
      </c>
      <c r="J113" s="10">
        <v>90</v>
      </c>
      <c r="K113" s="10">
        <v>89.55</v>
      </c>
      <c r="M113" s="10">
        <v>118.16667</v>
      </c>
      <c r="N113" s="10">
        <v>168.21250000000001</v>
      </c>
      <c r="O113" s="10">
        <v>163.52070000000001</v>
      </c>
      <c r="Q113" s="10">
        <v>1650.13</v>
      </c>
      <c r="R113" s="10">
        <v>2093.88</v>
      </c>
      <c r="S113" s="10">
        <v>2052.2800000000002</v>
      </c>
    </row>
    <row r="114" spans="1:19" x14ac:dyDescent="0.2">
      <c r="A114" s="9" t="s">
        <v>231</v>
      </c>
      <c r="B114" s="9" t="s">
        <v>232</v>
      </c>
      <c r="C114" s="9">
        <v>1</v>
      </c>
      <c r="D114" s="9">
        <v>0</v>
      </c>
      <c r="E114" s="9">
        <v>27</v>
      </c>
      <c r="F114" s="9">
        <f t="shared" si="1"/>
        <v>28</v>
      </c>
      <c r="H114" s="10">
        <v>324</v>
      </c>
      <c r="I114" s="10">
        <v>0</v>
      </c>
      <c r="J114" s="10">
        <v>124.08</v>
      </c>
      <c r="K114" s="10">
        <v>131.77000000000001</v>
      </c>
      <c r="M114" s="10">
        <v>0</v>
      </c>
      <c r="N114" s="10">
        <v>228.71102999999999</v>
      </c>
      <c r="O114" s="10">
        <v>231.45291</v>
      </c>
      <c r="Q114" s="10">
        <v>0</v>
      </c>
      <c r="R114" s="10">
        <v>1973.16</v>
      </c>
      <c r="S114" s="10">
        <v>1932.88</v>
      </c>
    </row>
    <row r="115" spans="1:19" x14ac:dyDescent="0.2">
      <c r="A115" s="9" t="s">
        <v>233</v>
      </c>
      <c r="B115" s="9" t="s">
        <v>234</v>
      </c>
      <c r="C115" s="9">
        <v>9</v>
      </c>
      <c r="D115" s="9">
        <v>0</v>
      </c>
      <c r="E115" s="9">
        <v>34</v>
      </c>
      <c r="F115" s="9">
        <f t="shared" si="1"/>
        <v>43</v>
      </c>
      <c r="H115" s="10">
        <v>83.43</v>
      </c>
      <c r="I115" s="10">
        <v>0</v>
      </c>
      <c r="J115" s="10">
        <v>100.59</v>
      </c>
      <c r="K115" s="10">
        <v>97.06</v>
      </c>
      <c r="M115" s="10">
        <v>193.57142999999999</v>
      </c>
      <c r="N115" s="10">
        <v>187.04139999999998</v>
      </c>
      <c r="O115" s="10">
        <v>188.46984</v>
      </c>
      <c r="Q115" s="10">
        <v>2256.02</v>
      </c>
      <c r="R115" s="10">
        <v>1992.19</v>
      </c>
      <c r="S115" s="10">
        <v>2049.9</v>
      </c>
    </row>
    <row r="116" spans="1:19" x14ac:dyDescent="0.2">
      <c r="A116" s="9" t="s">
        <v>235</v>
      </c>
      <c r="B116" s="9" t="s">
        <v>236</v>
      </c>
      <c r="C116" s="9">
        <v>10</v>
      </c>
      <c r="D116" s="9">
        <v>0</v>
      </c>
      <c r="E116" s="9">
        <v>34</v>
      </c>
      <c r="F116" s="9">
        <f t="shared" si="1"/>
        <v>44</v>
      </c>
      <c r="H116" s="10">
        <v>63.1</v>
      </c>
      <c r="I116" s="10">
        <v>0</v>
      </c>
      <c r="J116" s="10">
        <v>96.33</v>
      </c>
      <c r="K116" s="10">
        <v>88.02</v>
      </c>
      <c r="M116" s="10">
        <v>158.13979999999998</v>
      </c>
      <c r="N116" s="10">
        <v>176.80760000000001</v>
      </c>
      <c r="O116" s="10">
        <v>172.02098000000001</v>
      </c>
      <c r="Q116" s="10">
        <v>2528.44</v>
      </c>
      <c r="R116" s="10">
        <v>1952.6</v>
      </c>
      <c r="S116" s="10">
        <v>2100.25</v>
      </c>
    </row>
    <row r="117" spans="1:19" x14ac:dyDescent="0.2">
      <c r="A117" s="9" t="s">
        <v>237</v>
      </c>
      <c r="B117" s="9" t="s">
        <v>238</v>
      </c>
      <c r="C117" s="9">
        <v>9</v>
      </c>
      <c r="D117" s="9">
        <v>0</v>
      </c>
      <c r="E117" s="9">
        <v>28</v>
      </c>
      <c r="F117" s="9">
        <f t="shared" si="1"/>
        <v>37</v>
      </c>
      <c r="H117" s="10">
        <v>104.25</v>
      </c>
      <c r="I117" s="10">
        <v>0</v>
      </c>
      <c r="J117" s="10">
        <v>122.76</v>
      </c>
      <c r="K117" s="10">
        <v>118.27</v>
      </c>
      <c r="M117" s="10">
        <v>102.6875</v>
      </c>
      <c r="N117" s="10">
        <v>117.61585000000001</v>
      </c>
      <c r="O117" s="10">
        <v>113.99686</v>
      </c>
      <c r="Q117" s="10">
        <v>1144.51</v>
      </c>
      <c r="R117" s="10">
        <v>1032.94</v>
      </c>
      <c r="S117" s="10">
        <v>1059.99</v>
      </c>
    </row>
    <row r="118" spans="1:19" x14ac:dyDescent="0.2">
      <c r="A118" s="9" t="s">
        <v>239</v>
      </c>
      <c r="B118" s="9" t="s">
        <v>240</v>
      </c>
      <c r="C118" s="9">
        <v>15</v>
      </c>
      <c r="D118" s="9">
        <v>0</v>
      </c>
      <c r="E118" s="9">
        <v>103</v>
      </c>
      <c r="F118" s="9">
        <f t="shared" si="1"/>
        <v>118</v>
      </c>
      <c r="H118" s="10">
        <v>79.53</v>
      </c>
      <c r="I118" s="10">
        <v>0</v>
      </c>
      <c r="J118" s="10">
        <v>80.040000000000006</v>
      </c>
      <c r="K118" s="10">
        <v>79.97</v>
      </c>
      <c r="M118" s="10">
        <v>124.89897000000001</v>
      </c>
      <c r="N118" s="10">
        <v>118.13539</v>
      </c>
      <c r="O118" s="10">
        <v>119.13988000000001</v>
      </c>
      <c r="Q118" s="10">
        <v>1621.29</v>
      </c>
      <c r="R118" s="10">
        <v>1534.27</v>
      </c>
      <c r="S118" s="10">
        <v>1547.19</v>
      </c>
    </row>
    <row r="119" spans="1:19" x14ac:dyDescent="0.2">
      <c r="A119" s="9" t="s">
        <v>241</v>
      </c>
      <c r="B119" s="9" t="s">
        <v>242</v>
      </c>
      <c r="C119" s="9">
        <v>0</v>
      </c>
      <c r="D119" s="9">
        <v>5</v>
      </c>
      <c r="E119" s="9">
        <v>23</v>
      </c>
      <c r="F119" s="9">
        <f t="shared" si="1"/>
        <v>28</v>
      </c>
      <c r="H119" s="10">
        <v>0</v>
      </c>
      <c r="I119" s="10">
        <v>81.599999999999994</v>
      </c>
      <c r="J119" s="10">
        <v>96</v>
      </c>
      <c r="K119" s="10">
        <v>93.33</v>
      </c>
      <c r="M119" s="10">
        <v>0</v>
      </c>
      <c r="N119" s="10">
        <v>146.04737</v>
      </c>
      <c r="O119" s="10">
        <v>146.04737</v>
      </c>
      <c r="Q119" s="10">
        <v>0</v>
      </c>
      <c r="R119" s="10">
        <v>1535.15</v>
      </c>
      <c r="S119" s="10">
        <v>1535.15</v>
      </c>
    </row>
    <row r="120" spans="1:19" x14ac:dyDescent="0.2">
      <c r="A120" s="9" t="s">
        <v>243</v>
      </c>
      <c r="B120" s="9" t="s">
        <v>244</v>
      </c>
      <c r="C120" s="9">
        <v>17</v>
      </c>
      <c r="D120" s="9">
        <v>0</v>
      </c>
      <c r="E120" s="9">
        <v>79</v>
      </c>
      <c r="F120" s="9">
        <f t="shared" si="1"/>
        <v>96</v>
      </c>
      <c r="H120" s="10">
        <v>87.31</v>
      </c>
      <c r="I120" s="10">
        <v>0</v>
      </c>
      <c r="J120" s="10">
        <v>75.69</v>
      </c>
      <c r="K120" s="10">
        <v>77.849999999999994</v>
      </c>
      <c r="M120" s="10">
        <v>233.625</v>
      </c>
      <c r="N120" s="10">
        <v>142.36192000000003</v>
      </c>
      <c r="O120" s="10">
        <v>159.34110000000001</v>
      </c>
      <c r="Q120" s="10">
        <v>2691.27</v>
      </c>
      <c r="R120" s="10">
        <v>1888.48</v>
      </c>
      <c r="S120" s="10">
        <v>2037.84</v>
      </c>
    </row>
    <row r="121" spans="1:19" x14ac:dyDescent="0.2">
      <c r="A121" s="9" t="s">
        <v>245</v>
      </c>
      <c r="B121" s="9" t="s">
        <v>246</v>
      </c>
      <c r="C121" s="9">
        <v>0</v>
      </c>
      <c r="D121" s="9">
        <v>0</v>
      </c>
      <c r="E121" s="9">
        <v>14</v>
      </c>
      <c r="F121" s="9">
        <f t="shared" si="1"/>
        <v>14</v>
      </c>
      <c r="H121" s="10">
        <v>0</v>
      </c>
      <c r="I121" s="10">
        <v>0</v>
      </c>
      <c r="J121" s="10">
        <v>154.72999999999999</v>
      </c>
      <c r="K121" s="10">
        <v>154.72999999999999</v>
      </c>
      <c r="M121" s="10">
        <v>0</v>
      </c>
      <c r="N121" s="10">
        <v>305.46375</v>
      </c>
      <c r="O121" s="10">
        <v>305.46375</v>
      </c>
      <c r="Q121" s="10">
        <v>0</v>
      </c>
      <c r="R121" s="10">
        <v>1868.95</v>
      </c>
      <c r="S121" s="10">
        <v>1868.95</v>
      </c>
    </row>
    <row r="122" spans="1:19" x14ac:dyDescent="0.2">
      <c r="A122" s="9" t="s">
        <v>247</v>
      </c>
      <c r="B122" s="9" t="s">
        <v>248</v>
      </c>
      <c r="C122" s="9">
        <v>0</v>
      </c>
      <c r="D122" s="9">
        <v>0</v>
      </c>
      <c r="E122" s="9">
        <v>49</v>
      </c>
      <c r="F122" s="9">
        <f t="shared" si="1"/>
        <v>49</v>
      </c>
      <c r="H122" s="10">
        <v>0</v>
      </c>
      <c r="I122" s="10">
        <v>0</v>
      </c>
      <c r="J122" s="10">
        <v>106.94</v>
      </c>
      <c r="K122" s="10">
        <v>106.94</v>
      </c>
      <c r="M122" s="10">
        <v>0</v>
      </c>
      <c r="N122" s="10">
        <v>220.82738000000001</v>
      </c>
      <c r="O122" s="10">
        <v>220.82738000000001</v>
      </c>
      <c r="Q122" s="10">
        <v>0</v>
      </c>
      <c r="R122" s="10">
        <v>2015.45</v>
      </c>
      <c r="S122" s="10">
        <v>2015.45</v>
      </c>
    </row>
    <row r="123" spans="1:19" x14ac:dyDescent="0.2">
      <c r="A123" s="9" t="s">
        <v>249</v>
      </c>
      <c r="B123" s="9" t="s">
        <v>250</v>
      </c>
      <c r="C123" s="9">
        <v>2</v>
      </c>
      <c r="D123" s="9">
        <v>0</v>
      </c>
      <c r="E123" s="9">
        <v>23</v>
      </c>
      <c r="F123" s="9">
        <f t="shared" si="1"/>
        <v>25</v>
      </c>
      <c r="H123" s="10">
        <v>198.5</v>
      </c>
      <c r="I123" s="10">
        <v>0</v>
      </c>
      <c r="J123" s="10">
        <v>87.52</v>
      </c>
      <c r="K123" s="10">
        <v>97.17</v>
      </c>
      <c r="M123" s="10">
        <v>0</v>
      </c>
      <c r="N123" s="10">
        <v>124.22830999999999</v>
      </c>
      <c r="O123" s="10">
        <v>164.58672000000001</v>
      </c>
      <c r="Q123" s="10">
        <v>0</v>
      </c>
      <c r="R123" s="10">
        <v>1538.74</v>
      </c>
      <c r="S123" s="10">
        <v>1669.48</v>
      </c>
    </row>
    <row r="124" spans="1:19" x14ac:dyDescent="0.2">
      <c r="A124" s="9" t="s">
        <v>251</v>
      </c>
      <c r="B124" s="9" t="s">
        <v>252</v>
      </c>
      <c r="C124" s="9">
        <v>21</v>
      </c>
      <c r="D124" s="9">
        <v>4</v>
      </c>
      <c r="E124" s="9">
        <v>324</v>
      </c>
      <c r="F124" s="9">
        <f t="shared" si="1"/>
        <v>349</v>
      </c>
      <c r="H124" s="10">
        <v>103</v>
      </c>
      <c r="I124" s="10">
        <v>73</v>
      </c>
      <c r="J124" s="10">
        <v>87.81</v>
      </c>
      <c r="K124" s="10">
        <v>88.59</v>
      </c>
      <c r="M124" s="10">
        <v>118.54758</v>
      </c>
      <c r="N124" s="10">
        <v>81.144679999999994</v>
      </c>
      <c r="O124" s="10">
        <v>83.787990000000008</v>
      </c>
      <c r="Q124" s="10">
        <v>1118.26</v>
      </c>
      <c r="R124" s="10">
        <v>876.1</v>
      </c>
      <c r="S124" s="10">
        <v>893.21</v>
      </c>
    </row>
    <row r="125" spans="1:19" x14ac:dyDescent="0.2">
      <c r="A125" s="9" t="s">
        <v>253</v>
      </c>
      <c r="B125" s="9" t="s">
        <v>254</v>
      </c>
      <c r="C125" s="9">
        <v>0</v>
      </c>
      <c r="D125" s="9">
        <v>0</v>
      </c>
      <c r="E125" s="9">
        <v>3</v>
      </c>
      <c r="F125" s="9">
        <f t="shared" si="1"/>
        <v>3</v>
      </c>
      <c r="H125" s="10">
        <v>0</v>
      </c>
      <c r="I125" s="10">
        <v>0</v>
      </c>
      <c r="J125" s="10">
        <v>50</v>
      </c>
      <c r="K125" s="10">
        <v>50</v>
      </c>
      <c r="M125" s="10">
        <v>0</v>
      </c>
      <c r="N125" s="10">
        <v>27</v>
      </c>
      <c r="O125" s="10">
        <v>27</v>
      </c>
      <c r="Q125" s="10">
        <v>0</v>
      </c>
      <c r="R125" s="10">
        <v>540</v>
      </c>
      <c r="S125" s="10">
        <v>540</v>
      </c>
    </row>
    <row r="126" spans="1:19" x14ac:dyDescent="0.2">
      <c r="A126" s="9" t="s">
        <v>255</v>
      </c>
      <c r="B126" s="9" t="s">
        <v>256</v>
      </c>
      <c r="C126" s="9">
        <v>5</v>
      </c>
      <c r="D126" s="9">
        <v>2</v>
      </c>
      <c r="E126" s="9">
        <v>113</v>
      </c>
      <c r="F126" s="9">
        <f t="shared" si="1"/>
        <v>120</v>
      </c>
      <c r="H126" s="10">
        <v>58.4</v>
      </c>
      <c r="I126" s="10">
        <v>85</v>
      </c>
      <c r="J126" s="10">
        <v>76</v>
      </c>
      <c r="K126" s="10">
        <v>75.39</v>
      </c>
      <c r="M126" s="10">
        <v>121.74099000000001</v>
      </c>
      <c r="N126" s="10">
        <v>176.91883999999999</v>
      </c>
      <c r="O126" s="10">
        <v>174.45554000000001</v>
      </c>
      <c r="Q126" s="10">
        <v>1992.75</v>
      </c>
      <c r="R126" s="10">
        <v>2297.8000000000002</v>
      </c>
      <c r="S126" s="10">
        <v>2284.1799999999998</v>
      </c>
    </row>
    <row r="127" spans="1:19" x14ac:dyDescent="0.2">
      <c r="A127" s="9" t="s">
        <v>257</v>
      </c>
      <c r="B127" s="9" t="s">
        <v>258</v>
      </c>
      <c r="C127" s="9">
        <v>1</v>
      </c>
      <c r="D127" s="9">
        <v>0</v>
      </c>
      <c r="E127" s="9">
        <v>9</v>
      </c>
      <c r="F127" s="9">
        <f t="shared" si="1"/>
        <v>10</v>
      </c>
      <c r="H127" s="10">
        <v>192</v>
      </c>
      <c r="I127" s="10">
        <v>0</v>
      </c>
      <c r="J127" s="10">
        <v>120.11</v>
      </c>
      <c r="K127" s="10">
        <v>127.3</v>
      </c>
      <c r="M127" s="10">
        <v>0</v>
      </c>
      <c r="N127" s="10">
        <v>127.22222000000001</v>
      </c>
      <c r="O127" s="10">
        <v>132.32</v>
      </c>
      <c r="Q127" s="10">
        <v>0</v>
      </c>
      <c r="R127" s="10">
        <v>993.25</v>
      </c>
      <c r="S127" s="10">
        <v>986.74</v>
      </c>
    </row>
    <row r="128" spans="1:19" x14ac:dyDescent="0.2">
      <c r="A128" s="9" t="s">
        <v>259</v>
      </c>
      <c r="B128" s="9" t="s">
        <v>260</v>
      </c>
      <c r="C128" s="9">
        <v>2</v>
      </c>
      <c r="D128" s="9">
        <v>0</v>
      </c>
      <c r="E128" s="9">
        <v>28</v>
      </c>
      <c r="F128" s="9">
        <f t="shared" si="1"/>
        <v>30</v>
      </c>
      <c r="H128" s="10">
        <v>211</v>
      </c>
      <c r="I128" s="10">
        <v>0</v>
      </c>
      <c r="J128" s="10">
        <v>116.5</v>
      </c>
      <c r="K128" s="10">
        <v>124.37</v>
      </c>
      <c r="M128" s="10">
        <v>0</v>
      </c>
      <c r="N128" s="10">
        <v>199.91432</v>
      </c>
      <c r="O128" s="10">
        <v>207.50896</v>
      </c>
      <c r="Q128" s="10">
        <v>0</v>
      </c>
      <c r="R128" s="10">
        <v>1830.91</v>
      </c>
      <c r="S128" s="10">
        <v>1795.58</v>
      </c>
    </row>
    <row r="129" spans="1:19" x14ac:dyDescent="0.2">
      <c r="A129" s="9" t="s">
        <v>261</v>
      </c>
      <c r="B129" s="9" t="s">
        <v>262</v>
      </c>
      <c r="C129" s="9">
        <v>4</v>
      </c>
      <c r="D129" s="9">
        <v>0</v>
      </c>
      <c r="E129" s="9">
        <v>28</v>
      </c>
      <c r="F129" s="9">
        <f t="shared" si="1"/>
        <v>32</v>
      </c>
      <c r="H129" s="10">
        <v>100</v>
      </c>
      <c r="I129" s="10">
        <v>0</v>
      </c>
      <c r="J129" s="10">
        <v>97.04</v>
      </c>
      <c r="K129" s="10">
        <v>97.42</v>
      </c>
      <c r="M129" s="10">
        <v>173.75</v>
      </c>
      <c r="N129" s="10">
        <v>134.92466000000002</v>
      </c>
      <c r="O129" s="10">
        <v>139.93438</v>
      </c>
      <c r="Q129" s="10">
        <v>2055.5500000000002</v>
      </c>
      <c r="R129" s="10">
        <v>1470.68</v>
      </c>
      <c r="S129" s="10">
        <v>1546.15</v>
      </c>
    </row>
    <row r="130" spans="1:19" x14ac:dyDescent="0.2">
      <c r="A130" s="9" t="s">
        <v>263</v>
      </c>
      <c r="B130" s="9" t="s">
        <v>264</v>
      </c>
      <c r="C130" s="9">
        <v>5</v>
      </c>
      <c r="D130" s="9">
        <v>0</v>
      </c>
      <c r="E130" s="9">
        <v>19</v>
      </c>
      <c r="F130" s="9">
        <f t="shared" si="1"/>
        <v>24</v>
      </c>
      <c r="H130" s="10">
        <v>87.6</v>
      </c>
      <c r="I130" s="10">
        <v>0</v>
      </c>
      <c r="J130" s="10">
        <v>92.44</v>
      </c>
      <c r="K130" s="10">
        <v>91.29</v>
      </c>
      <c r="M130" s="10">
        <v>93.32092999999999</v>
      </c>
      <c r="N130" s="10">
        <v>69.254630000000006</v>
      </c>
      <c r="O130" s="10">
        <v>74.984700000000004</v>
      </c>
      <c r="Q130" s="10">
        <v>1005.8</v>
      </c>
      <c r="R130" s="10">
        <v>825.02</v>
      </c>
      <c r="S130" s="10">
        <v>868.06</v>
      </c>
    </row>
    <row r="131" spans="1:19" x14ac:dyDescent="0.2">
      <c r="A131" s="9" t="s">
        <v>265</v>
      </c>
      <c r="B131" s="9" t="s">
        <v>266</v>
      </c>
      <c r="C131" s="9">
        <v>0</v>
      </c>
      <c r="D131" s="9">
        <v>0</v>
      </c>
      <c r="E131" s="9">
        <v>9</v>
      </c>
      <c r="F131" s="9">
        <f t="shared" si="1"/>
        <v>9</v>
      </c>
      <c r="H131" s="10">
        <v>0</v>
      </c>
      <c r="I131" s="10">
        <v>0</v>
      </c>
      <c r="J131" s="10">
        <v>141.63</v>
      </c>
      <c r="K131" s="10">
        <v>141.63</v>
      </c>
      <c r="M131" s="10">
        <v>0</v>
      </c>
      <c r="N131" s="10">
        <v>69.625</v>
      </c>
      <c r="O131" s="10">
        <v>69.625</v>
      </c>
      <c r="Q131" s="10">
        <v>0</v>
      </c>
      <c r="R131" s="10">
        <v>532.01</v>
      </c>
      <c r="S131" s="10">
        <v>532.01</v>
      </c>
    </row>
    <row r="132" spans="1:19" x14ac:dyDescent="0.2">
      <c r="A132" s="9" t="s">
        <v>267</v>
      </c>
      <c r="B132" s="9" t="s">
        <v>268</v>
      </c>
      <c r="C132" s="9">
        <v>3</v>
      </c>
      <c r="D132" s="9">
        <v>0</v>
      </c>
      <c r="E132" s="9">
        <v>168</v>
      </c>
      <c r="F132" s="9">
        <f t="shared" si="1"/>
        <v>171</v>
      </c>
      <c r="H132" s="10">
        <v>59.67</v>
      </c>
      <c r="I132" s="10">
        <v>0</v>
      </c>
      <c r="J132" s="10">
        <v>74.010000000000005</v>
      </c>
      <c r="K132" s="10">
        <v>73.73</v>
      </c>
      <c r="M132" s="10">
        <v>116.6</v>
      </c>
      <c r="N132" s="10">
        <v>164.56726</v>
      </c>
      <c r="O132" s="10">
        <v>163.63264000000001</v>
      </c>
      <c r="Q132" s="10">
        <v>1987.2</v>
      </c>
      <c r="R132" s="10">
        <v>2302.23</v>
      </c>
      <c r="S132" s="10">
        <v>2296.09</v>
      </c>
    </row>
    <row r="133" spans="1:19" x14ac:dyDescent="0.2">
      <c r="A133" s="9" t="s">
        <v>269</v>
      </c>
      <c r="B133" s="9" t="s">
        <v>270</v>
      </c>
      <c r="C133" s="9">
        <v>11</v>
      </c>
      <c r="D133" s="9">
        <v>0</v>
      </c>
      <c r="E133" s="9">
        <v>234</v>
      </c>
      <c r="F133" s="9">
        <f t="shared" si="1"/>
        <v>245</v>
      </c>
      <c r="H133" s="10">
        <v>105.1</v>
      </c>
      <c r="I133" s="10">
        <v>0</v>
      </c>
      <c r="J133" s="10">
        <v>96.41</v>
      </c>
      <c r="K133" s="10">
        <v>96.8</v>
      </c>
      <c r="M133" s="10">
        <v>162.81617</v>
      </c>
      <c r="N133" s="10">
        <v>155.40727999999999</v>
      </c>
      <c r="O133" s="10">
        <v>155.75676000000001</v>
      </c>
      <c r="Q133" s="10">
        <v>1424.3</v>
      </c>
      <c r="R133" s="10">
        <v>1645.88</v>
      </c>
      <c r="S133" s="10">
        <v>1635.43</v>
      </c>
    </row>
    <row r="134" spans="1:19" x14ac:dyDescent="0.2">
      <c r="A134" s="9" t="s">
        <v>271</v>
      </c>
      <c r="B134" s="9" t="s">
        <v>272</v>
      </c>
      <c r="C134" s="9">
        <v>66</v>
      </c>
      <c r="D134" s="9">
        <v>18</v>
      </c>
      <c r="E134" s="9">
        <v>502</v>
      </c>
      <c r="F134" s="9">
        <f t="shared" ref="F134:F197" si="2">SUM(C134:E134)</f>
        <v>586</v>
      </c>
      <c r="H134" s="10">
        <v>85.66</v>
      </c>
      <c r="I134" s="10">
        <v>66.31</v>
      </c>
      <c r="J134" s="10">
        <v>87.42</v>
      </c>
      <c r="K134" s="10">
        <v>86.69</v>
      </c>
      <c r="M134" s="10">
        <v>134.7467</v>
      </c>
      <c r="N134" s="10">
        <v>156.29387</v>
      </c>
      <c r="O134" s="10">
        <v>153.43029999999999</v>
      </c>
      <c r="Q134" s="10">
        <v>1805.08</v>
      </c>
      <c r="R134" s="10">
        <v>1806.83</v>
      </c>
      <c r="S134" s="10">
        <v>1806.6</v>
      </c>
    </row>
    <row r="135" spans="1:19" x14ac:dyDescent="0.2">
      <c r="A135" s="9" t="s">
        <v>273</v>
      </c>
      <c r="B135" s="9" t="s">
        <v>274</v>
      </c>
      <c r="C135" s="9">
        <v>0</v>
      </c>
      <c r="D135" s="9">
        <v>0</v>
      </c>
      <c r="E135" s="9">
        <v>6</v>
      </c>
      <c r="F135" s="9">
        <f t="shared" si="2"/>
        <v>6</v>
      </c>
      <c r="H135" s="10">
        <v>0</v>
      </c>
      <c r="I135" s="10">
        <v>0</v>
      </c>
      <c r="J135" s="10">
        <v>76.5</v>
      </c>
      <c r="K135" s="10">
        <v>76.5</v>
      </c>
      <c r="M135" s="10">
        <v>0</v>
      </c>
      <c r="N135" s="10">
        <v>49.734670000000001</v>
      </c>
      <c r="O135" s="10">
        <v>49.734670000000001</v>
      </c>
      <c r="Q135" s="10">
        <v>0</v>
      </c>
      <c r="R135" s="10">
        <v>638.39</v>
      </c>
      <c r="S135" s="10">
        <v>638.39</v>
      </c>
    </row>
    <row r="136" spans="1:19" x14ac:dyDescent="0.2">
      <c r="A136" s="9" t="s">
        <v>275</v>
      </c>
      <c r="B136" s="9" t="s">
        <v>276</v>
      </c>
      <c r="C136" s="9">
        <v>19</v>
      </c>
      <c r="D136" s="9">
        <v>4</v>
      </c>
      <c r="E136" s="9">
        <v>190</v>
      </c>
      <c r="F136" s="9">
        <f t="shared" si="2"/>
        <v>213</v>
      </c>
      <c r="H136" s="10">
        <v>60.56</v>
      </c>
      <c r="I136" s="10">
        <v>76.25</v>
      </c>
      <c r="J136" s="10">
        <v>64.489999999999995</v>
      </c>
      <c r="K136" s="10">
        <v>64.37</v>
      </c>
      <c r="M136" s="10">
        <v>98.08453999999999</v>
      </c>
      <c r="N136" s="10">
        <v>105.01874000000001</v>
      </c>
      <c r="O136" s="10">
        <v>104.39831</v>
      </c>
      <c r="Q136" s="10">
        <v>1767.96</v>
      </c>
      <c r="R136" s="10">
        <v>1656.39</v>
      </c>
      <c r="S136" s="10">
        <v>1666.37</v>
      </c>
    </row>
    <row r="137" spans="1:19" x14ac:dyDescent="0.2">
      <c r="A137" s="9" t="s">
        <v>277</v>
      </c>
      <c r="B137" s="9" t="s">
        <v>278</v>
      </c>
      <c r="C137" s="9">
        <v>12</v>
      </c>
      <c r="D137" s="9">
        <v>5</v>
      </c>
      <c r="E137" s="9">
        <v>88</v>
      </c>
      <c r="F137" s="9">
        <f t="shared" si="2"/>
        <v>105</v>
      </c>
      <c r="H137" s="10">
        <v>85.25</v>
      </c>
      <c r="I137" s="10">
        <v>85.25</v>
      </c>
      <c r="J137" s="10">
        <v>76.53</v>
      </c>
      <c r="K137" s="10">
        <v>77.97</v>
      </c>
      <c r="M137" s="10">
        <v>120.29167</v>
      </c>
      <c r="N137" s="10">
        <v>66.027500000000003</v>
      </c>
      <c r="O137" s="10">
        <v>75.603529999999992</v>
      </c>
      <c r="Q137" s="10">
        <v>1420.11</v>
      </c>
      <c r="R137" s="10">
        <v>821.57</v>
      </c>
      <c r="S137" s="10">
        <v>927.19</v>
      </c>
    </row>
    <row r="138" spans="1:19" x14ac:dyDescent="0.2">
      <c r="A138" s="9" t="s">
        <v>279</v>
      </c>
      <c r="B138" s="9" t="s">
        <v>280</v>
      </c>
      <c r="C138" s="9">
        <v>1</v>
      </c>
      <c r="D138" s="9">
        <v>0</v>
      </c>
      <c r="E138" s="9">
        <v>66</v>
      </c>
      <c r="F138" s="9">
        <f t="shared" si="2"/>
        <v>67</v>
      </c>
      <c r="H138" s="10">
        <v>0</v>
      </c>
      <c r="I138" s="10">
        <v>0</v>
      </c>
      <c r="J138" s="10">
        <v>72.760000000000005</v>
      </c>
      <c r="K138" s="10">
        <v>72.760000000000005</v>
      </c>
      <c r="M138" s="10">
        <v>0</v>
      </c>
      <c r="N138" s="10">
        <v>194.20345</v>
      </c>
      <c r="O138" s="10">
        <v>194.20345</v>
      </c>
      <c r="Q138" s="10">
        <v>0</v>
      </c>
      <c r="R138" s="10">
        <v>2344.89</v>
      </c>
      <c r="S138" s="10">
        <v>2344.89</v>
      </c>
    </row>
    <row r="139" spans="1:19" x14ac:dyDescent="0.2">
      <c r="A139" s="9" t="s">
        <v>281</v>
      </c>
      <c r="B139" s="9" t="s">
        <v>282</v>
      </c>
      <c r="C139" s="9">
        <v>54</v>
      </c>
      <c r="D139" s="9">
        <v>0</v>
      </c>
      <c r="E139" s="9">
        <v>45</v>
      </c>
      <c r="F139" s="9">
        <f t="shared" si="2"/>
        <v>99</v>
      </c>
      <c r="H139" s="10">
        <v>0</v>
      </c>
      <c r="I139" s="10">
        <v>0</v>
      </c>
      <c r="J139" s="10">
        <v>80.88</v>
      </c>
      <c r="K139" s="10">
        <v>80.88</v>
      </c>
      <c r="M139" s="10">
        <v>0</v>
      </c>
      <c r="N139" s="10">
        <v>143.24567999999999</v>
      </c>
      <c r="O139" s="10">
        <v>143.24567999999999</v>
      </c>
      <c r="Q139" s="10">
        <v>0</v>
      </c>
      <c r="R139" s="10">
        <v>1785.26</v>
      </c>
      <c r="S139" s="10">
        <v>1785.26</v>
      </c>
    </row>
    <row r="140" spans="1:19" x14ac:dyDescent="0.2">
      <c r="A140" s="9" t="s">
        <v>283</v>
      </c>
      <c r="B140" s="9" t="s">
        <v>284</v>
      </c>
      <c r="C140" s="9">
        <v>8</v>
      </c>
      <c r="D140" s="9">
        <v>0</v>
      </c>
      <c r="E140" s="9">
        <v>19</v>
      </c>
      <c r="F140" s="9">
        <f t="shared" si="2"/>
        <v>27</v>
      </c>
      <c r="H140" s="10">
        <v>90.71</v>
      </c>
      <c r="I140" s="10">
        <v>0</v>
      </c>
      <c r="J140" s="10">
        <v>128.59</v>
      </c>
      <c r="K140" s="10">
        <v>117.54</v>
      </c>
      <c r="M140" s="10">
        <v>105.71428999999999</v>
      </c>
      <c r="N140" s="10">
        <v>250.70468</v>
      </c>
      <c r="O140" s="10">
        <v>208.41582</v>
      </c>
      <c r="Q140" s="10">
        <v>1286.42</v>
      </c>
      <c r="R140" s="10">
        <v>2089.37</v>
      </c>
      <c r="S140" s="10">
        <v>1855.18</v>
      </c>
    </row>
    <row r="141" spans="1:19" x14ac:dyDescent="0.2">
      <c r="A141" s="9" t="s">
        <v>285</v>
      </c>
      <c r="B141" s="9" t="s">
        <v>286</v>
      </c>
      <c r="C141" s="9">
        <v>2</v>
      </c>
      <c r="D141" s="9">
        <v>0</v>
      </c>
      <c r="E141" s="9">
        <v>19</v>
      </c>
      <c r="F141" s="9">
        <f t="shared" si="2"/>
        <v>21</v>
      </c>
      <c r="H141" s="10">
        <v>183.5</v>
      </c>
      <c r="I141" s="10">
        <v>0</v>
      </c>
      <c r="J141" s="10">
        <v>167.11</v>
      </c>
      <c r="K141" s="10">
        <v>168.67</v>
      </c>
      <c r="M141" s="10">
        <v>0</v>
      </c>
      <c r="N141" s="10">
        <v>216.17367999999999</v>
      </c>
      <c r="O141" s="10">
        <v>207.96665999999999</v>
      </c>
      <c r="Q141" s="10">
        <v>0</v>
      </c>
      <c r="R141" s="10">
        <v>1512.16</v>
      </c>
      <c r="S141" s="10">
        <v>1440.26</v>
      </c>
    </row>
    <row r="142" spans="1:19" x14ac:dyDescent="0.2">
      <c r="A142" s="9" t="s">
        <v>287</v>
      </c>
      <c r="B142" s="9" t="s">
        <v>288</v>
      </c>
      <c r="C142" s="9">
        <v>75</v>
      </c>
      <c r="D142" s="9">
        <v>1</v>
      </c>
      <c r="E142" s="9">
        <v>134</v>
      </c>
      <c r="F142" s="9">
        <f t="shared" si="2"/>
        <v>210</v>
      </c>
      <c r="H142" s="10">
        <v>80.53</v>
      </c>
      <c r="I142" s="10">
        <v>54</v>
      </c>
      <c r="J142" s="10">
        <v>78.150000000000006</v>
      </c>
      <c r="K142" s="10">
        <v>78.489999999999995</v>
      </c>
      <c r="M142" s="10">
        <v>193.44279999999998</v>
      </c>
      <c r="N142" s="10">
        <v>148.66026000000002</v>
      </c>
      <c r="O142" s="10">
        <v>158.68620000000001</v>
      </c>
      <c r="Q142" s="10">
        <v>2596.21</v>
      </c>
      <c r="R142" s="10">
        <v>1967.95</v>
      </c>
      <c r="S142" s="10">
        <v>2108.61</v>
      </c>
    </row>
    <row r="143" spans="1:19" x14ac:dyDescent="0.2">
      <c r="A143" s="9" t="s">
        <v>289</v>
      </c>
      <c r="B143" s="9" t="s">
        <v>290</v>
      </c>
      <c r="C143" s="9">
        <v>0</v>
      </c>
      <c r="D143" s="9">
        <v>0</v>
      </c>
      <c r="E143" s="9">
        <v>50</v>
      </c>
      <c r="F143" s="9">
        <f t="shared" si="2"/>
        <v>50</v>
      </c>
      <c r="H143" s="10">
        <v>0</v>
      </c>
      <c r="I143" s="10">
        <v>0</v>
      </c>
      <c r="J143" s="10">
        <v>85.82</v>
      </c>
      <c r="K143" s="10">
        <v>85.82</v>
      </c>
      <c r="M143" s="10">
        <v>0</v>
      </c>
      <c r="N143" s="10">
        <v>70.730710000000002</v>
      </c>
      <c r="O143" s="10">
        <v>70.730710000000002</v>
      </c>
      <c r="Q143" s="10">
        <v>0</v>
      </c>
      <c r="R143" s="10">
        <v>854.92</v>
      </c>
      <c r="S143" s="10">
        <v>854.92</v>
      </c>
    </row>
    <row r="144" spans="1:19" x14ac:dyDescent="0.2">
      <c r="A144" s="9" t="s">
        <v>291</v>
      </c>
      <c r="B144" s="9" t="s">
        <v>292</v>
      </c>
      <c r="C144" s="9">
        <v>9</v>
      </c>
      <c r="D144" s="9">
        <v>0</v>
      </c>
      <c r="E144" s="9">
        <v>43</v>
      </c>
      <c r="F144" s="9">
        <f t="shared" si="2"/>
        <v>52</v>
      </c>
      <c r="H144" s="10">
        <v>119</v>
      </c>
      <c r="I144" s="10">
        <v>0</v>
      </c>
      <c r="J144" s="10">
        <v>110.08</v>
      </c>
      <c r="K144" s="10">
        <v>111.47</v>
      </c>
      <c r="M144" s="10">
        <v>137.92857000000001</v>
      </c>
      <c r="N144" s="10">
        <v>112.46019</v>
      </c>
      <c r="O144" s="10">
        <v>116.51197999999999</v>
      </c>
      <c r="Q144" s="10">
        <v>1469.42</v>
      </c>
      <c r="R144" s="10">
        <v>1141.3499999999999</v>
      </c>
      <c r="S144" s="10">
        <v>1193.54</v>
      </c>
    </row>
    <row r="145" spans="1:19" x14ac:dyDescent="0.2">
      <c r="A145" s="9" t="s">
        <v>293</v>
      </c>
      <c r="B145" s="9" t="s">
        <v>294</v>
      </c>
      <c r="C145" s="9">
        <v>151</v>
      </c>
      <c r="D145" s="9">
        <v>0</v>
      </c>
      <c r="E145" s="9">
        <v>137</v>
      </c>
      <c r="F145" s="9">
        <f t="shared" si="2"/>
        <v>288</v>
      </c>
      <c r="H145" s="10">
        <v>117.41</v>
      </c>
      <c r="I145" s="10">
        <v>0</v>
      </c>
      <c r="J145" s="10">
        <v>117.49</v>
      </c>
      <c r="K145" s="10">
        <v>117.45</v>
      </c>
      <c r="M145" s="10">
        <v>400.32746999999995</v>
      </c>
      <c r="N145" s="10">
        <v>387.80059999999997</v>
      </c>
      <c r="O145" s="10">
        <v>394.56915000000004</v>
      </c>
      <c r="Q145" s="10">
        <v>3582.09</v>
      </c>
      <c r="R145" s="10">
        <v>3536</v>
      </c>
      <c r="S145" s="10">
        <v>3560.9</v>
      </c>
    </row>
    <row r="146" spans="1:19" x14ac:dyDescent="0.2">
      <c r="A146" s="9" t="s">
        <v>295</v>
      </c>
      <c r="B146" s="9" t="s">
        <v>296</v>
      </c>
      <c r="C146" s="9">
        <v>0</v>
      </c>
      <c r="D146" s="9">
        <v>0</v>
      </c>
      <c r="E146" s="9">
        <v>19</v>
      </c>
      <c r="F146" s="9">
        <f t="shared" si="2"/>
        <v>19</v>
      </c>
      <c r="H146" s="10">
        <v>0</v>
      </c>
      <c r="I146" s="10">
        <v>0</v>
      </c>
      <c r="J146" s="10">
        <v>176.41</v>
      </c>
      <c r="K146" s="10">
        <v>176.41</v>
      </c>
      <c r="M146" s="10">
        <v>0</v>
      </c>
      <c r="N146" s="10">
        <v>231.61250000000001</v>
      </c>
      <c r="O146" s="10">
        <v>231.61250000000001</v>
      </c>
      <c r="Q146" s="10">
        <v>0</v>
      </c>
      <c r="R146" s="10">
        <v>1387.61</v>
      </c>
      <c r="S146" s="10">
        <v>1387.61</v>
      </c>
    </row>
    <row r="147" spans="1:19" x14ac:dyDescent="0.2">
      <c r="A147" s="9" t="s">
        <v>297</v>
      </c>
      <c r="B147" s="9" t="s">
        <v>298</v>
      </c>
      <c r="C147" s="9">
        <v>4</v>
      </c>
      <c r="D147" s="9">
        <v>0</v>
      </c>
      <c r="E147" s="9">
        <v>9</v>
      </c>
      <c r="F147" s="9">
        <f t="shared" si="2"/>
        <v>13</v>
      </c>
      <c r="H147" s="10">
        <v>91.25</v>
      </c>
      <c r="I147" s="10">
        <v>0</v>
      </c>
      <c r="J147" s="10">
        <v>99.78</v>
      </c>
      <c r="K147" s="10">
        <v>97.16</v>
      </c>
      <c r="M147" s="10">
        <v>91.633330000000001</v>
      </c>
      <c r="N147" s="10">
        <v>122.592</v>
      </c>
      <c r="O147" s="10">
        <v>114.85232999999999</v>
      </c>
      <c r="Q147" s="10">
        <v>1382.56</v>
      </c>
      <c r="R147" s="10">
        <v>1283.25</v>
      </c>
      <c r="S147" s="10">
        <v>1308.08</v>
      </c>
    </row>
    <row r="148" spans="1:19" x14ac:dyDescent="0.2">
      <c r="A148" s="9" t="s">
        <v>299</v>
      </c>
      <c r="B148" s="9" t="s">
        <v>300</v>
      </c>
      <c r="C148" s="9">
        <v>0</v>
      </c>
      <c r="D148" s="9">
        <v>0</v>
      </c>
      <c r="E148" s="9">
        <v>78</v>
      </c>
      <c r="F148" s="9">
        <f t="shared" si="2"/>
        <v>78</v>
      </c>
      <c r="H148" s="10">
        <v>0</v>
      </c>
      <c r="I148" s="10">
        <v>0</v>
      </c>
      <c r="J148" s="10">
        <v>92.93</v>
      </c>
      <c r="K148" s="10">
        <v>92.93</v>
      </c>
      <c r="M148" s="10">
        <v>0</v>
      </c>
      <c r="N148" s="10">
        <v>151.80622</v>
      </c>
      <c r="O148" s="10">
        <v>151.80622</v>
      </c>
      <c r="Q148" s="10">
        <v>0</v>
      </c>
      <c r="R148" s="10">
        <v>1578.19</v>
      </c>
      <c r="S148" s="10">
        <v>1578.19</v>
      </c>
    </row>
    <row r="149" spans="1:19" x14ac:dyDescent="0.2">
      <c r="A149" s="9" t="s">
        <v>301</v>
      </c>
      <c r="B149" s="9" t="s">
        <v>302</v>
      </c>
      <c r="C149" s="9">
        <v>43</v>
      </c>
      <c r="D149" s="9">
        <v>2</v>
      </c>
      <c r="E149" s="9">
        <v>65</v>
      </c>
      <c r="F149" s="9">
        <f t="shared" si="2"/>
        <v>110</v>
      </c>
      <c r="H149" s="10">
        <v>107.76</v>
      </c>
      <c r="I149" s="10">
        <v>73</v>
      </c>
      <c r="J149" s="10">
        <v>77.900000000000006</v>
      </c>
      <c r="K149" s="10">
        <v>89.75</v>
      </c>
      <c r="M149" s="10">
        <v>337.31809999999996</v>
      </c>
      <c r="N149" s="10">
        <v>190.45332000000002</v>
      </c>
      <c r="O149" s="10">
        <v>253.39536999999999</v>
      </c>
      <c r="Q149" s="10">
        <v>3123.56</v>
      </c>
      <c r="R149" s="10">
        <v>2425.9699999999998</v>
      </c>
      <c r="S149" s="10">
        <v>2724.94</v>
      </c>
    </row>
    <row r="150" spans="1:19" x14ac:dyDescent="0.2">
      <c r="A150" s="9" t="s">
        <v>303</v>
      </c>
      <c r="B150" s="9" t="s">
        <v>304</v>
      </c>
      <c r="C150" s="9">
        <v>7</v>
      </c>
      <c r="D150" s="9">
        <v>0</v>
      </c>
      <c r="E150" s="9">
        <v>16</v>
      </c>
      <c r="F150" s="9">
        <f t="shared" si="2"/>
        <v>23</v>
      </c>
      <c r="H150" s="10">
        <v>167.43</v>
      </c>
      <c r="I150" s="10">
        <v>0</v>
      </c>
      <c r="J150" s="10">
        <v>190</v>
      </c>
      <c r="K150" s="10">
        <v>182.48</v>
      </c>
      <c r="M150" s="10">
        <v>227.14285999999998</v>
      </c>
      <c r="N150" s="10">
        <v>229.36070999999998</v>
      </c>
      <c r="O150" s="10">
        <v>228.62143</v>
      </c>
      <c r="Q150" s="10">
        <v>1576.49</v>
      </c>
      <c r="R150" s="10">
        <v>1537.71</v>
      </c>
      <c r="S150" s="10">
        <v>1550.64</v>
      </c>
    </row>
    <row r="151" spans="1:19" x14ac:dyDescent="0.2">
      <c r="A151" s="9" t="s">
        <v>305</v>
      </c>
      <c r="B151" s="9" t="s">
        <v>306</v>
      </c>
      <c r="C151" s="9">
        <v>4</v>
      </c>
      <c r="D151" s="9">
        <v>1</v>
      </c>
      <c r="E151" s="9">
        <v>14</v>
      </c>
      <c r="F151" s="9">
        <f t="shared" si="2"/>
        <v>19</v>
      </c>
      <c r="H151" s="10">
        <v>110</v>
      </c>
      <c r="I151" s="10">
        <v>90</v>
      </c>
      <c r="J151" s="10">
        <v>110.75</v>
      </c>
      <c r="K151" s="10">
        <v>108.83</v>
      </c>
      <c r="M151" s="10">
        <v>146.76582999999999</v>
      </c>
      <c r="N151" s="10">
        <v>112.46063000000001</v>
      </c>
      <c r="O151" s="10">
        <v>121.81658999999999</v>
      </c>
      <c r="Q151" s="10">
        <v>1138.1500000000001</v>
      </c>
      <c r="R151" s="10">
        <v>1014.27</v>
      </c>
      <c r="S151" s="10">
        <v>1048.06</v>
      </c>
    </row>
    <row r="152" spans="1:19" x14ac:dyDescent="0.2">
      <c r="A152" s="9" t="s">
        <v>307</v>
      </c>
      <c r="B152" s="9" t="s">
        <v>308</v>
      </c>
      <c r="C152" s="9">
        <v>1</v>
      </c>
      <c r="D152" s="9">
        <v>0</v>
      </c>
      <c r="E152" s="9">
        <v>7</v>
      </c>
      <c r="F152" s="9">
        <f t="shared" si="2"/>
        <v>8</v>
      </c>
      <c r="H152" s="10">
        <v>108</v>
      </c>
      <c r="I152" s="10">
        <v>0</v>
      </c>
      <c r="J152" s="10">
        <v>126.71</v>
      </c>
      <c r="K152" s="10">
        <v>124.37</v>
      </c>
      <c r="M152" s="10">
        <v>0</v>
      </c>
      <c r="N152" s="10">
        <v>98.73</v>
      </c>
      <c r="O152" s="10">
        <v>95.763750000000002</v>
      </c>
      <c r="Q152" s="10">
        <v>0</v>
      </c>
      <c r="R152" s="10">
        <v>734.49</v>
      </c>
      <c r="S152" s="10">
        <v>729.48</v>
      </c>
    </row>
    <row r="153" spans="1:19" x14ac:dyDescent="0.2">
      <c r="A153" s="9" t="s">
        <v>309</v>
      </c>
      <c r="B153" s="9" t="s">
        <v>310</v>
      </c>
      <c r="C153" s="9">
        <v>8</v>
      </c>
      <c r="D153" s="9">
        <v>0</v>
      </c>
      <c r="E153" s="9">
        <v>17</v>
      </c>
      <c r="F153" s="9">
        <f t="shared" si="2"/>
        <v>25</v>
      </c>
      <c r="H153" s="10">
        <v>77.75</v>
      </c>
      <c r="I153" s="10">
        <v>0</v>
      </c>
      <c r="J153" s="10">
        <v>83.94</v>
      </c>
      <c r="K153" s="10">
        <v>81.88</v>
      </c>
      <c r="M153" s="10">
        <v>81.525000000000006</v>
      </c>
      <c r="N153" s="10">
        <v>76.874380000000002</v>
      </c>
      <c r="O153" s="10">
        <v>78.424589999999995</v>
      </c>
      <c r="Q153" s="10">
        <v>1043.5</v>
      </c>
      <c r="R153" s="10">
        <v>1007.31</v>
      </c>
      <c r="S153" s="10">
        <v>1019.37</v>
      </c>
    </row>
    <row r="154" spans="1:19" x14ac:dyDescent="0.2">
      <c r="A154" s="9" t="s">
        <v>311</v>
      </c>
      <c r="B154" s="9" t="s">
        <v>312</v>
      </c>
      <c r="C154" s="9">
        <v>29</v>
      </c>
      <c r="D154" s="9">
        <v>4</v>
      </c>
      <c r="E154" s="9">
        <v>48</v>
      </c>
      <c r="F154" s="9">
        <f t="shared" si="2"/>
        <v>81</v>
      </c>
      <c r="H154" s="10">
        <v>71.14</v>
      </c>
      <c r="I154" s="10">
        <v>72.25</v>
      </c>
      <c r="J154" s="10">
        <v>75.78</v>
      </c>
      <c r="K154" s="10">
        <v>73.930000000000007</v>
      </c>
      <c r="M154" s="10">
        <v>200.06704000000002</v>
      </c>
      <c r="N154" s="10">
        <v>207.14309</v>
      </c>
      <c r="O154" s="10">
        <v>204.42899</v>
      </c>
      <c r="Q154" s="10">
        <v>2816.83</v>
      </c>
      <c r="R154" s="10">
        <v>2656.98</v>
      </c>
      <c r="S154" s="10">
        <v>2718.29</v>
      </c>
    </row>
    <row r="155" spans="1:19" x14ac:dyDescent="0.2">
      <c r="A155" s="9" t="s">
        <v>313</v>
      </c>
      <c r="B155" s="9" t="s">
        <v>314</v>
      </c>
      <c r="C155" s="9">
        <v>72</v>
      </c>
      <c r="D155" s="9">
        <v>1</v>
      </c>
      <c r="E155" s="9">
        <v>29</v>
      </c>
      <c r="F155" s="9">
        <f t="shared" si="2"/>
        <v>102</v>
      </c>
      <c r="H155" s="10">
        <v>106.44</v>
      </c>
      <c r="I155" s="10">
        <v>0</v>
      </c>
      <c r="J155" s="10">
        <v>112.21</v>
      </c>
      <c r="K155" s="10">
        <v>107.91</v>
      </c>
      <c r="M155" s="10">
        <v>229.5324</v>
      </c>
      <c r="N155" s="10">
        <v>403.82276000000002</v>
      </c>
      <c r="O155" s="10">
        <v>269.75324999999998</v>
      </c>
      <c r="Q155" s="10">
        <v>2160.81</v>
      </c>
      <c r="R155" s="10">
        <v>3185.2</v>
      </c>
      <c r="S155" s="10">
        <v>2397.21</v>
      </c>
    </row>
    <row r="156" spans="1:19" x14ac:dyDescent="0.2">
      <c r="A156" s="9" t="s">
        <v>315</v>
      </c>
      <c r="B156" s="9" t="s">
        <v>316</v>
      </c>
      <c r="C156" s="9">
        <v>3</v>
      </c>
      <c r="D156" s="9">
        <v>1</v>
      </c>
      <c r="E156" s="9">
        <v>92</v>
      </c>
      <c r="F156" s="9">
        <f t="shared" si="2"/>
        <v>96</v>
      </c>
      <c r="H156" s="10">
        <v>120.33</v>
      </c>
      <c r="I156" s="10">
        <v>90</v>
      </c>
      <c r="J156" s="10">
        <v>109.49</v>
      </c>
      <c r="K156" s="10">
        <v>109.64</v>
      </c>
      <c r="M156" s="10">
        <v>207.3</v>
      </c>
      <c r="N156" s="10">
        <v>254.22575000000001</v>
      </c>
      <c r="O156" s="10">
        <v>252.53085999999999</v>
      </c>
      <c r="Q156" s="10">
        <v>1840</v>
      </c>
      <c r="R156" s="10">
        <v>2356.58</v>
      </c>
      <c r="S156" s="10">
        <v>2337.91</v>
      </c>
    </row>
    <row r="157" spans="1:19" x14ac:dyDescent="0.2">
      <c r="A157" s="9" t="s">
        <v>317</v>
      </c>
      <c r="B157" s="9" t="s">
        <v>318</v>
      </c>
      <c r="C157" s="9">
        <v>1</v>
      </c>
      <c r="D157" s="9">
        <v>0</v>
      </c>
      <c r="E157" s="9">
        <v>25</v>
      </c>
      <c r="F157" s="9">
        <f t="shared" si="2"/>
        <v>26</v>
      </c>
      <c r="H157" s="10">
        <v>76</v>
      </c>
      <c r="I157" s="10">
        <v>0</v>
      </c>
      <c r="J157" s="10">
        <v>127.13</v>
      </c>
      <c r="K157" s="10">
        <v>125.08</v>
      </c>
      <c r="M157" s="10">
        <v>0</v>
      </c>
      <c r="N157" s="10">
        <v>286.16341</v>
      </c>
      <c r="O157" s="10">
        <v>287.80243000000002</v>
      </c>
      <c r="Q157" s="10">
        <v>0</v>
      </c>
      <c r="R157" s="10">
        <v>2490.09</v>
      </c>
      <c r="S157" s="10">
        <v>2564.79</v>
      </c>
    </row>
    <row r="158" spans="1:19" x14ac:dyDescent="0.2">
      <c r="A158" s="9" t="s">
        <v>319</v>
      </c>
      <c r="B158" s="9" t="s">
        <v>320</v>
      </c>
      <c r="C158" s="9">
        <v>6</v>
      </c>
      <c r="D158" s="9">
        <v>0</v>
      </c>
      <c r="E158" s="9">
        <v>53</v>
      </c>
      <c r="F158" s="9">
        <f t="shared" si="2"/>
        <v>59</v>
      </c>
      <c r="H158" s="10">
        <v>58.67</v>
      </c>
      <c r="I158" s="10">
        <v>0</v>
      </c>
      <c r="J158" s="10">
        <v>127.78</v>
      </c>
      <c r="K158" s="10">
        <v>120.24</v>
      </c>
      <c r="M158" s="10">
        <v>111.90344999999999</v>
      </c>
      <c r="N158" s="10">
        <v>279.89749</v>
      </c>
      <c r="O158" s="10">
        <v>261.57087000000001</v>
      </c>
      <c r="Q158" s="10">
        <v>1907.71</v>
      </c>
      <c r="R158" s="10">
        <v>2424.34</v>
      </c>
      <c r="S158" s="10">
        <v>2367.98</v>
      </c>
    </row>
    <row r="159" spans="1:19" x14ac:dyDescent="0.2">
      <c r="A159" s="9" t="s">
        <v>321</v>
      </c>
      <c r="B159" s="9" t="s">
        <v>322</v>
      </c>
      <c r="C159" s="9">
        <v>1</v>
      </c>
      <c r="D159" s="9">
        <v>0</v>
      </c>
      <c r="E159" s="9">
        <v>15</v>
      </c>
      <c r="F159" s="9">
        <f t="shared" si="2"/>
        <v>16</v>
      </c>
      <c r="H159" s="10">
        <v>0</v>
      </c>
      <c r="I159" s="10">
        <v>0</v>
      </c>
      <c r="J159" s="10">
        <v>72.540000000000006</v>
      </c>
      <c r="K159" s="10">
        <v>72.540000000000006</v>
      </c>
      <c r="M159" s="10">
        <v>0</v>
      </c>
      <c r="N159" s="10">
        <v>97.343249999999998</v>
      </c>
      <c r="O159" s="10">
        <v>97.343249999999998</v>
      </c>
      <c r="Q159" s="10">
        <v>0</v>
      </c>
      <c r="R159" s="10">
        <v>1402.52</v>
      </c>
      <c r="S159" s="10">
        <v>1402.52</v>
      </c>
    </row>
    <row r="160" spans="1:19" x14ac:dyDescent="0.2">
      <c r="A160" s="9" t="s">
        <v>323</v>
      </c>
      <c r="B160" s="9" t="s">
        <v>324</v>
      </c>
      <c r="C160" s="9">
        <v>5</v>
      </c>
      <c r="D160" s="9">
        <v>1</v>
      </c>
      <c r="E160" s="9">
        <v>20</v>
      </c>
      <c r="F160" s="9">
        <f t="shared" si="2"/>
        <v>26</v>
      </c>
      <c r="H160" s="10">
        <v>62</v>
      </c>
      <c r="I160" s="10">
        <v>92</v>
      </c>
      <c r="J160" s="10">
        <v>75.33</v>
      </c>
      <c r="K160" s="10">
        <v>73.739999999999995</v>
      </c>
      <c r="M160" s="10">
        <v>78.125</v>
      </c>
      <c r="N160" s="10">
        <v>94.703589999999991</v>
      </c>
      <c r="O160" s="10">
        <v>91.689300000000003</v>
      </c>
      <c r="Q160" s="10">
        <v>1493.39</v>
      </c>
      <c r="R160" s="10">
        <v>1223.3699999999999</v>
      </c>
      <c r="S160" s="10">
        <v>1272.46</v>
      </c>
    </row>
    <row r="161" spans="1:19" x14ac:dyDescent="0.2">
      <c r="A161" s="9" t="s">
        <v>325</v>
      </c>
      <c r="B161" s="9" t="s">
        <v>326</v>
      </c>
      <c r="C161" s="9">
        <v>5</v>
      </c>
      <c r="D161" s="9">
        <v>0</v>
      </c>
      <c r="E161" s="9">
        <v>18</v>
      </c>
      <c r="F161" s="9">
        <f t="shared" si="2"/>
        <v>23</v>
      </c>
      <c r="H161" s="10">
        <v>203.2</v>
      </c>
      <c r="I161" s="10">
        <v>0</v>
      </c>
      <c r="J161" s="10">
        <v>146.13</v>
      </c>
      <c r="K161" s="10">
        <v>159.72</v>
      </c>
      <c r="M161" s="10">
        <v>261.79300000000001</v>
      </c>
      <c r="N161" s="10">
        <v>354.82812999999999</v>
      </c>
      <c r="O161" s="10">
        <v>332.67690999999996</v>
      </c>
      <c r="Q161" s="10">
        <v>1589.19</v>
      </c>
      <c r="R161" s="10">
        <v>2537.73</v>
      </c>
      <c r="S161" s="10">
        <v>2311.89</v>
      </c>
    </row>
    <row r="162" spans="1:19" x14ac:dyDescent="0.2">
      <c r="A162" s="9" t="s">
        <v>327</v>
      </c>
      <c r="B162" s="9" t="s">
        <v>328</v>
      </c>
      <c r="C162" s="9">
        <v>11</v>
      </c>
      <c r="D162" s="9">
        <v>0</v>
      </c>
      <c r="E162" s="9">
        <v>39</v>
      </c>
      <c r="F162" s="9">
        <f t="shared" si="2"/>
        <v>50</v>
      </c>
      <c r="H162" s="10">
        <v>106.5</v>
      </c>
      <c r="I162" s="10">
        <v>0</v>
      </c>
      <c r="J162" s="10">
        <v>121.69</v>
      </c>
      <c r="K162" s="10">
        <v>118.07</v>
      </c>
      <c r="M162" s="10">
        <v>183.95</v>
      </c>
      <c r="N162" s="10">
        <v>186.61963</v>
      </c>
      <c r="O162" s="10">
        <v>185.98400000000001</v>
      </c>
      <c r="Q162" s="10">
        <v>1883.45</v>
      </c>
      <c r="R162" s="10">
        <v>1760.19</v>
      </c>
      <c r="S162" s="10">
        <v>1789.54</v>
      </c>
    </row>
    <row r="163" spans="1:19" x14ac:dyDescent="0.2">
      <c r="A163" s="9" t="s">
        <v>329</v>
      </c>
      <c r="B163" s="9" t="s">
        <v>330</v>
      </c>
      <c r="C163" s="9">
        <v>1</v>
      </c>
      <c r="D163" s="9">
        <v>0</v>
      </c>
      <c r="E163" s="9">
        <v>15</v>
      </c>
      <c r="F163" s="9">
        <f t="shared" si="2"/>
        <v>16</v>
      </c>
      <c r="H163" s="10">
        <v>59</v>
      </c>
      <c r="I163" s="10">
        <v>0</v>
      </c>
      <c r="J163" s="10">
        <v>114.82</v>
      </c>
      <c r="K163" s="10">
        <v>110.17</v>
      </c>
      <c r="M163" s="10">
        <v>0</v>
      </c>
      <c r="N163" s="10">
        <v>195.66667000000001</v>
      </c>
      <c r="O163" s="10">
        <v>187.6</v>
      </c>
      <c r="Q163" s="10">
        <v>0</v>
      </c>
      <c r="R163" s="10">
        <v>1949.78</v>
      </c>
      <c r="S163" s="10">
        <v>1949.72</v>
      </c>
    </row>
    <row r="164" spans="1:19" x14ac:dyDescent="0.2">
      <c r="A164" s="9" t="s">
        <v>331</v>
      </c>
      <c r="B164" s="9" t="s">
        <v>332</v>
      </c>
      <c r="C164" s="9">
        <v>6</v>
      </c>
      <c r="D164" s="9">
        <v>0</v>
      </c>
      <c r="E164" s="9">
        <v>27</v>
      </c>
      <c r="F164" s="9">
        <f t="shared" si="2"/>
        <v>33</v>
      </c>
      <c r="H164" s="10">
        <v>87.6</v>
      </c>
      <c r="I164" s="10">
        <v>0</v>
      </c>
      <c r="J164" s="10">
        <v>94.04</v>
      </c>
      <c r="K164" s="10">
        <v>93</v>
      </c>
      <c r="M164" s="10">
        <v>68.8172</v>
      </c>
      <c r="N164" s="10">
        <v>97.174189999999996</v>
      </c>
      <c r="O164" s="10">
        <v>92.44802</v>
      </c>
      <c r="Q164" s="10">
        <v>766.67</v>
      </c>
      <c r="R164" s="10">
        <v>1066.8499999999999</v>
      </c>
      <c r="S164" s="10">
        <v>1016.82</v>
      </c>
    </row>
    <row r="165" spans="1:19" x14ac:dyDescent="0.2">
      <c r="A165" s="9" t="s">
        <v>333</v>
      </c>
      <c r="B165" s="9" t="s">
        <v>334</v>
      </c>
      <c r="C165" s="9">
        <v>6</v>
      </c>
      <c r="D165" s="9">
        <v>0</v>
      </c>
      <c r="E165" s="9">
        <v>254</v>
      </c>
      <c r="F165" s="9">
        <f t="shared" si="2"/>
        <v>260</v>
      </c>
      <c r="H165" s="10">
        <v>63.83</v>
      </c>
      <c r="I165" s="10">
        <v>0</v>
      </c>
      <c r="J165" s="10">
        <v>64.680000000000007</v>
      </c>
      <c r="K165" s="10">
        <v>64.66</v>
      </c>
      <c r="M165" s="10">
        <v>187.91853</v>
      </c>
      <c r="N165" s="10">
        <v>119.84262</v>
      </c>
      <c r="O165" s="10">
        <v>121.89516</v>
      </c>
      <c r="Q165" s="10">
        <v>2958.05</v>
      </c>
      <c r="R165" s="10">
        <v>1887.82</v>
      </c>
      <c r="S165" s="10">
        <v>1920.09</v>
      </c>
    </row>
    <row r="166" spans="1:19" x14ac:dyDescent="0.2">
      <c r="A166" s="9" t="s">
        <v>335</v>
      </c>
      <c r="B166" s="9" t="s">
        <v>336</v>
      </c>
      <c r="C166" s="9">
        <v>0</v>
      </c>
      <c r="D166" s="9">
        <v>0</v>
      </c>
      <c r="E166" s="9">
        <v>16</v>
      </c>
      <c r="F166" s="9">
        <f t="shared" si="2"/>
        <v>16</v>
      </c>
      <c r="H166" s="10">
        <v>0</v>
      </c>
      <c r="I166" s="10">
        <v>0</v>
      </c>
      <c r="J166" s="10">
        <v>214.92</v>
      </c>
      <c r="K166" s="10">
        <v>214.92</v>
      </c>
      <c r="M166" s="10">
        <v>0</v>
      </c>
      <c r="N166" s="10">
        <v>278.65522999999996</v>
      </c>
      <c r="O166" s="10">
        <v>278.65522999999996</v>
      </c>
      <c r="Q166" s="10">
        <v>0</v>
      </c>
      <c r="R166" s="10">
        <v>1364</v>
      </c>
      <c r="S166" s="10">
        <v>1364</v>
      </c>
    </row>
    <row r="167" spans="1:19" x14ac:dyDescent="0.2">
      <c r="A167" s="9" t="s">
        <v>337</v>
      </c>
      <c r="B167" s="9" t="s">
        <v>338</v>
      </c>
      <c r="C167" s="9">
        <v>3</v>
      </c>
      <c r="D167" s="9">
        <v>0</v>
      </c>
      <c r="E167" s="9">
        <v>24</v>
      </c>
      <c r="F167" s="9">
        <f t="shared" si="2"/>
        <v>27</v>
      </c>
      <c r="H167" s="10">
        <v>181.5</v>
      </c>
      <c r="I167" s="10">
        <v>0</v>
      </c>
      <c r="J167" s="10">
        <v>147.83000000000001</v>
      </c>
      <c r="K167" s="10">
        <v>150.52000000000001</v>
      </c>
      <c r="M167" s="10">
        <v>160</v>
      </c>
      <c r="N167" s="10">
        <v>179</v>
      </c>
      <c r="O167" s="10">
        <v>177.48</v>
      </c>
      <c r="Q167" s="10">
        <v>1285.7</v>
      </c>
      <c r="R167" s="10">
        <v>1379.89</v>
      </c>
      <c r="S167" s="10">
        <v>1372.36</v>
      </c>
    </row>
    <row r="168" spans="1:19" x14ac:dyDescent="0.2">
      <c r="A168" s="9" t="s">
        <v>339</v>
      </c>
      <c r="B168" s="9" t="s">
        <v>340</v>
      </c>
      <c r="C168" s="9">
        <v>3</v>
      </c>
      <c r="D168" s="9">
        <v>0</v>
      </c>
      <c r="E168" s="9">
        <v>18</v>
      </c>
      <c r="F168" s="9">
        <f t="shared" si="2"/>
        <v>21</v>
      </c>
      <c r="H168" s="10">
        <v>131.33000000000001</v>
      </c>
      <c r="I168" s="10">
        <v>0</v>
      </c>
      <c r="J168" s="10">
        <v>85.53</v>
      </c>
      <c r="K168" s="10">
        <v>93.16</v>
      </c>
      <c r="M168" s="10">
        <v>80.7</v>
      </c>
      <c r="N168" s="10">
        <v>62.282139999999998</v>
      </c>
      <c r="O168" s="10">
        <v>65.526470000000003</v>
      </c>
      <c r="Q168" s="10">
        <v>753.9</v>
      </c>
      <c r="R168" s="10">
        <v>681.04</v>
      </c>
      <c r="S168" s="10">
        <v>693.89</v>
      </c>
    </row>
    <row r="169" spans="1:19" x14ac:dyDescent="0.2">
      <c r="A169" s="9" t="s">
        <v>341</v>
      </c>
      <c r="B169" s="9" t="s">
        <v>342</v>
      </c>
      <c r="C169" s="9">
        <v>1</v>
      </c>
      <c r="D169" s="9">
        <v>0</v>
      </c>
      <c r="E169" s="9">
        <v>27</v>
      </c>
      <c r="F169" s="9">
        <f t="shared" si="2"/>
        <v>28</v>
      </c>
      <c r="H169" s="10">
        <v>67</v>
      </c>
      <c r="I169" s="10">
        <v>0</v>
      </c>
      <c r="J169" s="10">
        <v>88.19</v>
      </c>
      <c r="K169" s="10">
        <v>87.41</v>
      </c>
      <c r="M169" s="10">
        <v>0</v>
      </c>
      <c r="N169" s="10">
        <v>82.540559999999999</v>
      </c>
      <c r="O169" s="10">
        <v>81.019770000000008</v>
      </c>
      <c r="Q169" s="10">
        <v>0</v>
      </c>
      <c r="R169" s="10">
        <v>986.88</v>
      </c>
      <c r="S169" s="10">
        <v>973.61</v>
      </c>
    </row>
    <row r="170" spans="1:19" x14ac:dyDescent="0.2">
      <c r="A170" s="9" t="s">
        <v>343</v>
      </c>
      <c r="B170" s="9" t="s">
        <v>344</v>
      </c>
      <c r="C170" s="9">
        <v>2</v>
      </c>
      <c r="D170" s="9">
        <v>0</v>
      </c>
      <c r="E170" s="9">
        <v>24</v>
      </c>
      <c r="F170" s="9">
        <f t="shared" si="2"/>
        <v>26</v>
      </c>
      <c r="H170" s="10">
        <v>208.5</v>
      </c>
      <c r="I170" s="10">
        <v>0</v>
      </c>
      <c r="J170" s="10">
        <v>132.65</v>
      </c>
      <c r="K170" s="10">
        <v>138.72</v>
      </c>
      <c r="M170" s="10">
        <v>0</v>
      </c>
      <c r="N170" s="10">
        <v>140.91154</v>
      </c>
      <c r="O170" s="10">
        <v>141.25785999999999</v>
      </c>
      <c r="Q170" s="10">
        <v>0</v>
      </c>
      <c r="R170" s="10">
        <v>1148.7</v>
      </c>
      <c r="S170" s="10">
        <v>1112.23</v>
      </c>
    </row>
    <row r="171" spans="1:19" x14ac:dyDescent="0.2">
      <c r="A171" s="9" t="s">
        <v>345</v>
      </c>
      <c r="B171" s="9" t="s">
        <v>346</v>
      </c>
      <c r="C171" s="9">
        <v>28</v>
      </c>
      <c r="D171" s="9">
        <v>1</v>
      </c>
      <c r="E171" s="9">
        <v>41</v>
      </c>
      <c r="F171" s="9">
        <f t="shared" si="2"/>
        <v>70</v>
      </c>
      <c r="H171" s="10">
        <v>86.38</v>
      </c>
      <c r="I171" s="10">
        <v>0</v>
      </c>
      <c r="J171" s="10">
        <v>95.44</v>
      </c>
      <c r="K171" s="10">
        <v>93.71</v>
      </c>
      <c r="M171" s="10">
        <v>152.83250000000001</v>
      </c>
      <c r="N171" s="10">
        <v>155.40573999999998</v>
      </c>
      <c r="O171" s="10">
        <v>154.90364000000002</v>
      </c>
      <c r="Q171" s="10">
        <v>1730.63</v>
      </c>
      <c r="R171" s="10">
        <v>1559.58</v>
      </c>
      <c r="S171" s="10">
        <v>1592.96</v>
      </c>
    </row>
    <row r="172" spans="1:19" x14ac:dyDescent="0.2">
      <c r="A172" s="9" t="s">
        <v>347</v>
      </c>
      <c r="B172" s="9" t="s">
        <v>348</v>
      </c>
      <c r="C172" s="9">
        <v>3</v>
      </c>
      <c r="D172" s="9">
        <v>0</v>
      </c>
      <c r="E172" s="9">
        <v>11</v>
      </c>
      <c r="F172" s="9">
        <f t="shared" si="2"/>
        <v>14</v>
      </c>
      <c r="H172" s="10">
        <v>151</v>
      </c>
      <c r="I172" s="10">
        <v>0</v>
      </c>
      <c r="J172" s="10">
        <v>112.36</v>
      </c>
      <c r="K172" s="10">
        <v>118.3</v>
      </c>
      <c r="M172" s="10">
        <v>179.8</v>
      </c>
      <c r="N172" s="10">
        <v>117.58341</v>
      </c>
      <c r="O172" s="10">
        <v>127.15295</v>
      </c>
      <c r="Q172" s="10">
        <v>1293.8</v>
      </c>
      <c r="R172" s="10">
        <v>1163.3900000000001</v>
      </c>
      <c r="S172" s="10">
        <v>1183.45</v>
      </c>
    </row>
    <row r="173" spans="1:19" x14ac:dyDescent="0.2">
      <c r="A173" s="9" t="s">
        <v>349</v>
      </c>
      <c r="B173" s="9" t="s">
        <v>350</v>
      </c>
      <c r="C173" s="9">
        <v>2</v>
      </c>
      <c r="D173" s="9">
        <v>0</v>
      </c>
      <c r="E173" s="9">
        <v>11</v>
      </c>
      <c r="F173" s="9">
        <f t="shared" si="2"/>
        <v>13</v>
      </c>
      <c r="H173" s="10">
        <v>68.5</v>
      </c>
      <c r="I173" s="10">
        <v>0</v>
      </c>
      <c r="J173" s="10">
        <v>88.2</v>
      </c>
      <c r="K173" s="10">
        <v>84.92</v>
      </c>
      <c r="M173" s="10">
        <v>0</v>
      </c>
      <c r="N173" s="10">
        <v>130.95555999999999</v>
      </c>
      <c r="O173" s="10">
        <v>131.1</v>
      </c>
      <c r="Q173" s="10">
        <v>0</v>
      </c>
      <c r="R173" s="10">
        <v>1431.74</v>
      </c>
      <c r="S173" s="10">
        <v>1521.11</v>
      </c>
    </row>
    <row r="174" spans="1:19" x14ac:dyDescent="0.2">
      <c r="A174" s="9" t="s">
        <v>351</v>
      </c>
      <c r="B174" s="9" t="s">
        <v>352</v>
      </c>
      <c r="C174" s="9">
        <v>0</v>
      </c>
      <c r="D174" s="9">
        <v>0</v>
      </c>
      <c r="E174" s="9">
        <v>5</v>
      </c>
      <c r="F174" s="9">
        <f t="shared" si="2"/>
        <v>5</v>
      </c>
      <c r="H174" s="10">
        <v>0</v>
      </c>
      <c r="I174" s="10">
        <v>0</v>
      </c>
      <c r="J174" s="10">
        <v>69</v>
      </c>
      <c r="K174" s="10">
        <v>69</v>
      </c>
      <c r="M174" s="10">
        <v>0</v>
      </c>
      <c r="N174" s="10">
        <v>71.625</v>
      </c>
      <c r="O174" s="10">
        <v>71.625</v>
      </c>
      <c r="Q174" s="10">
        <v>0</v>
      </c>
      <c r="R174" s="10">
        <v>1089.95</v>
      </c>
      <c r="S174" s="10">
        <v>1089.95</v>
      </c>
    </row>
    <row r="175" spans="1:19" x14ac:dyDescent="0.2">
      <c r="A175" s="9" t="s">
        <v>353</v>
      </c>
      <c r="B175" s="9" t="s">
        <v>354</v>
      </c>
      <c r="C175" s="9">
        <v>3</v>
      </c>
      <c r="D175" s="9">
        <v>0</v>
      </c>
      <c r="E175" s="9">
        <v>5</v>
      </c>
      <c r="F175" s="9">
        <f t="shared" si="2"/>
        <v>8</v>
      </c>
      <c r="H175" s="10">
        <v>56</v>
      </c>
      <c r="I175" s="10">
        <v>0</v>
      </c>
      <c r="J175" s="10">
        <v>137</v>
      </c>
      <c r="K175" s="10">
        <v>110</v>
      </c>
      <c r="M175" s="10">
        <v>33.9</v>
      </c>
      <c r="N175" s="10">
        <v>61.395000000000003</v>
      </c>
      <c r="O175" s="10">
        <v>52.24</v>
      </c>
      <c r="Q175" s="10">
        <v>575</v>
      </c>
      <c r="R175" s="10">
        <v>526.03</v>
      </c>
      <c r="S175" s="10">
        <v>542.36</v>
      </c>
    </row>
    <row r="176" spans="1:19" x14ac:dyDescent="0.2">
      <c r="A176" s="9" t="s">
        <v>355</v>
      </c>
      <c r="B176" s="9" t="s">
        <v>356</v>
      </c>
      <c r="C176" s="9">
        <v>2</v>
      </c>
      <c r="D176" s="9">
        <v>0</v>
      </c>
      <c r="E176" s="9">
        <v>18</v>
      </c>
      <c r="F176" s="9">
        <f t="shared" si="2"/>
        <v>20</v>
      </c>
      <c r="H176" s="10">
        <v>162.5</v>
      </c>
      <c r="I176" s="10">
        <v>0</v>
      </c>
      <c r="J176" s="10">
        <v>127.71</v>
      </c>
      <c r="K176" s="10">
        <v>131.37</v>
      </c>
      <c r="M176" s="10">
        <v>0</v>
      </c>
      <c r="N176" s="10">
        <v>164.96676000000002</v>
      </c>
      <c r="O176" s="10">
        <v>169.02289000000002</v>
      </c>
      <c r="Q176" s="10">
        <v>0</v>
      </c>
      <c r="R176" s="10">
        <v>1656.38</v>
      </c>
      <c r="S176" s="10">
        <v>1650.9</v>
      </c>
    </row>
    <row r="177" spans="1:19" x14ac:dyDescent="0.2">
      <c r="A177" s="9" t="s">
        <v>357</v>
      </c>
      <c r="B177" s="9" t="s">
        <v>358</v>
      </c>
      <c r="C177" s="9">
        <v>2</v>
      </c>
      <c r="D177" s="9">
        <v>0</v>
      </c>
      <c r="E177" s="9">
        <v>12</v>
      </c>
      <c r="F177" s="9">
        <f t="shared" si="2"/>
        <v>14</v>
      </c>
      <c r="H177" s="10">
        <v>188</v>
      </c>
      <c r="I177" s="10">
        <v>0</v>
      </c>
      <c r="J177" s="10">
        <v>102.18</v>
      </c>
      <c r="K177" s="10">
        <v>115.38</v>
      </c>
      <c r="M177" s="10">
        <v>0</v>
      </c>
      <c r="N177" s="10">
        <v>105.04809</v>
      </c>
      <c r="O177" s="10">
        <v>135.45674</v>
      </c>
      <c r="Q177" s="10">
        <v>0</v>
      </c>
      <c r="R177" s="10">
        <v>994.59</v>
      </c>
      <c r="S177" s="10">
        <v>1095.05</v>
      </c>
    </row>
    <row r="178" spans="1:19" x14ac:dyDescent="0.2">
      <c r="A178" s="9" t="s">
        <v>359</v>
      </c>
      <c r="B178" s="9" t="s">
        <v>360</v>
      </c>
      <c r="C178" s="9">
        <v>0</v>
      </c>
      <c r="D178" s="9">
        <v>0</v>
      </c>
      <c r="E178" s="9">
        <v>18</v>
      </c>
      <c r="F178" s="9">
        <f t="shared" si="2"/>
        <v>18</v>
      </c>
      <c r="H178" s="10">
        <v>0</v>
      </c>
      <c r="I178" s="10">
        <v>0</v>
      </c>
      <c r="J178" s="10">
        <v>99.38</v>
      </c>
      <c r="K178" s="10">
        <v>99.38</v>
      </c>
      <c r="M178" s="10">
        <v>0</v>
      </c>
      <c r="N178" s="10">
        <v>109.54038</v>
      </c>
      <c r="O178" s="10">
        <v>109.54038</v>
      </c>
      <c r="Q178" s="10">
        <v>0</v>
      </c>
      <c r="R178" s="10">
        <v>1188.42</v>
      </c>
      <c r="S178" s="10">
        <v>1188.42</v>
      </c>
    </row>
    <row r="179" spans="1:19" x14ac:dyDescent="0.2">
      <c r="A179" s="9" t="s">
        <v>361</v>
      </c>
      <c r="B179" s="9" t="s">
        <v>362</v>
      </c>
      <c r="C179" s="9">
        <v>21</v>
      </c>
      <c r="D179" s="9">
        <v>0</v>
      </c>
      <c r="E179" s="9">
        <v>113</v>
      </c>
      <c r="F179" s="9">
        <f t="shared" si="2"/>
        <v>134</v>
      </c>
      <c r="H179" s="10">
        <v>130.13</v>
      </c>
      <c r="I179" s="10">
        <v>0</v>
      </c>
      <c r="J179" s="10">
        <v>108</v>
      </c>
      <c r="K179" s="10">
        <v>110.77</v>
      </c>
      <c r="M179" s="10">
        <v>463.71055999999999</v>
      </c>
      <c r="N179" s="10">
        <v>488.44963999999999</v>
      </c>
      <c r="O179" s="10">
        <v>485.33127000000002</v>
      </c>
      <c r="Q179" s="10">
        <v>3935.57</v>
      </c>
      <c r="R179" s="10">
        <v>4550.38</v>
      </c>
      <c r="S179" s="10">
        <v>4472.88</v>
      </c>
    </row>
    <row r="180" spans="1:19" x14ac:dyDescent="0.2">
      <c r="A180" s="9" t="s">
        <v>363</v>
      </c>
      <c r="B180" s="9" t="s">
        <v>364</v>
      </c>
      <c r="C180" s="9">
        <v>2</v>
      </c>
      <c r="D180" s="9">
        <v>0</v>
      </c>
      <c r="E180" s="9">
        <v>8</v>
      </c>
      <c r="F180" s="9">
        <f t="shared" si="2"/>
        <v>10</v>
      </c>
      <c r="H180" s="10">
        <v>78</v>
      </c>
      <c r="I180" s="10">
        <v>0</v>
      </c>
      <c r="J180" s="10">
        <v>103.25</v>
      </c>
      <c r="K180" s="10">
        <v>100.44</v>
      </c>
      <c r="M180" s="10">
        <v>0</v>
      </c>
      <c r="N180" s="10">
        <v>106.34209</v>
      </c>
      <c r="O180" s="10">
        <v>103.28682999999999</v>
      </c>
      <c r="Q180" s="10">
        <v>0</v>
      </c>
      <c r="R180" s="10">
        <v>978.02</v>
      </c>
      <c r="S180" s="10">
        <v>987.02</v>
      </c>
    </row>
    <row r="181" spans="1:19" x14ac:dyDescent="0.2">
      <c r="A181" s="9" t="s">
        <v>365</v>
      </c>
      <c r="B181" s="9" t="s">
        <v>366</v>
      </c>
      <c r="C181" s="9">
        <v>1</v>
      </c>
      <c r="D181" s="9">
        <v>0</v>
      </c>
      <c r="E181" s="9">
        <v>6</v>
      </c>
      <c r="F181" s="9">
        <f t="shared" si="2"/>
        <v>7</v>
      </c>
      <c r="H181" s="10">
        <v>128</v>
      </c>
      <c r="I181" s="10">
        <v>0</v>
      </c>
      <c r="J181" s="10">
        <v>70.83</v>
      </c>
      <c r="K181" s="10">
        <v>79</v>
      </c>
      <c r="M181" s="10">
        <v>0</v>
      </c>
      <c r="N181" s="10">
        <v>49.528489999999998</v>
      </c>
      <c r="O181" s="10">
        <v>63.167279999999998</v>
      </c>
      <c r="Q181" s="10">
        <v>0</v>
      </c>
      <c r="R181" s="10">
        <v>738.65</v>
      </c>
      <c r="S181" s="10">
        <v>794.96</v>
      </c>
    </row>
    <row r="182" spans="1:19" x14ac:dyDescent="0.2">
      <c r="A182" s="9" t="s">
        <v>367</v>
      </c>
      <c r="B182" s="9" t="s">
        <v>368</v>
      </c>
      <c r="C182" s="9">
        <v>2</v>
      </c>
      <c r="D182" s="9">
        <v>0</v>
      </c>
      <c r="E182" s="9">
        <v>5</v>
      </c>
      <c r="F182" s="9">
        <f t="shared" si="2"/>
        <v>7</v>
      </c>
      <c r="H182" s="10">
        <v>83</v>
      </c>
      <c r="I182" s="10">
        <v>0</v>
      </c>
      <c r="J182" s="10">
        <v>94</v>
      </c>
      <c r="K182" s="10">
        <v>90.86</v>
      </c>
      <c r="M182" s="10">
        <v>0</v>
      </c>
      <c r="N182" s="10">
        <v>105.8</v>
      </c>
      <c r="O182" s="10">
        <v>99.021429999999995</v>
      </c>
      <c r="Q182" s="10">
        <v>0</v>
      </c>
      <c r="R182" s="10">
        <v>1162.93</v>
      </c>
      <c r="S182" s="10">
        <v>1123.3900000000001</v>
      </c>
    </row>
    <row r="183" spans="1:19" x14ac:dyDescent="0.2">
      <c r="A183" s="9" t="s">
        <v>369</v>
      </c>
      <c r="B183" s="9" t="s">
        <v>370</v>
      </c>
      <c r="C183" s="9">
        <v>50</v>
      </c>
      <c r="D183" s="9">
        <v>0</v>
      </c>
      <c r="E183" s="9">
        <v>347</v>
      </c>
      <c r="F183" s="9">
        <f t="shared" si="2"/>
        <v>397</v>
      </c>
      <c r="H183" s="10">
        <v>88.4</v>
      </c>
      <c r="I183" s="10">
        <v>0</v>
      </c>
      <c r="J183" s="10">
        <v>82.48</v>
      </c>
      <c r="K183" s="10">
        <v>83.23</v>
      </c>
      <c r="M183" s="10">
        <v>129.63341</v>
      </c>
      <c r="N183" s="10">
        <v>96.04674</v>
      </c>
      <c r="O183" s="10">
        <v>100.35978</v>
      </c>
      <c r="Q183" s="10">
        <v>1374.64</v>
      </c>
      <c r="R183" s="10">
        <v>1150.02</v>
      </c>
      <c r="S183" s="10">
        <v>1178.8599999999999</v>
      </c>
    </row>
    <row r="184" spans="1:19" x14ac:dyDescent="0.2">
      <c r="A184" s="9" t="s">
        <v>371</v>
      </c>
      <c r="B184" s="9" t="s">
        <v>372</v>
      </c>
      <c r="C184" s="9">
        <v>0</v>
      </c>
      <c r="D184" s="9">
        <v>0</v>
      </c>
      <c r="E184" s="9">
        <v>43</v>
      </c>
      <c r="F184" s="9">
        <f t="shared" si="2"/>
        <v>43</v>
      </c>
      <c r="H184" s="10">
        <v>0</v>
      </c>
      <c r="I184" s="10">
        <v>0</v>
      </c>
      <c r="J184" s="10">
        <v>103.63</v>
      </c>
      <c r="K184" s="10">
        <v>103.63</v>
      </c>
      <c r="M184" s="10">
        <v>0</v>
      </c>
      <c r="N184" s="10">
        <v>69.964869999999991</v>
      </c>
      <c r="O184" s="10">
        <v>69.964869999999991</v>
      </c>
      <c r="Q184" s="10">
        <v>0</v>
      </c>
      <c r="R184" s="10">
        <v>710.9</v>
      </c>
      <c r="S184" s="10">
        <v>710.9</v>
      </c>
    </row>
    <row r="185" spans="1:19" x14ac:dyDescent="0.2">
      <c r="A185" s="9" t="s">
        <v>373</v>
      </c>
      <c r="B185" s="9" t="s">
        <v>374</v>
      </c>
      <c r="C185" s="9">
        <v>8</v>
      </c>
      <c r="D185" s="9">
        <v>0</v>
      </c>
      <c r="E185" s="9">
        <v>7</v>
      </c>
      <c r="F185" s="9">
        <f t="shared" si="2"/>
        <v>15</v>
      </c>
      <c r="H185" s="10">
        <v>246</v>
      </c>
      <c r="I185" s="10">
        <v>0</v>
      </c>
      <c r="J185" s="10">
        <v>183.67</v>
      </c>
      <c r="K185" s="10">
        <v>217.23</v>
      </c>
      <c r="M185" s="10">
        <v>573.75029000000006</v>
      </c>
      <c r="N185" s="10">
        <v>458.50016999999997</v>
      </c>
      <c r="O185" s="10">
        <v>520.55792999999994</v>
      </c>
      <c r="Q185" s="10">
        <v>2323.2199999999998</v>
      </c>
      <c r="R185" s="10">
        <v>2974.39</v>
      </c>
      <c r="S185" s="10">
        <v>2623.76</v>
      </c>
    </row>
    <row r="186" spans="1:19" x14ac:dyDescent="0.2">
      <c r="A186" s="9" t="s">
        <v>375</v>
      </c>
      <c r="B186" s="9" t="s">
        <v>376</v>
      </c>
      <c r="C186" s="9">
        <v>76</v>
      </c>
      <c r="D186" s="9">
        <v>1</v>
      </c>
      <c r="E186" s="9">
        <v>576</v>
      </c>
      <c r="F186" s="9">
        <f t="shared" si="2"/>
        <v>653</v>
      </c>
      <c r="H186" s="10">
        <v>78.650000000000006</v>
      </c>
      <c r="I186" s="10">
        <v>58</v>
      </c>
      <c r="J186" s="10">
        <v>88.27</v>
      </c>
      <c r="K186" s="10">
        <v>87.26</v>
      </c>
      <c r="M186" s="10">
        <v>120.74508</v>
      </c>
      <c r="N186" s="10">
        <v>122.89258</v>
      </c>
      <c r="O186" s="10">
        <v>122.67360000000001</v>
      </c>
      <c r="Q186" s="10">
        <v>1607.29</v>
      </c>
      <c r="R186" s="10">
        <v>1426.2</v>
      </c>
      <c r="S186" s="10">
        <v>1444.67</v>
      </c>
    </row>
    <row r="187" spans="1:19" x14ac:dyDescent="0.2">
      <c r="A187" s="9" t="s">
        <v>377</v>
      </c>
      <c r="B187" s="9" t="s">
        <v>378</v>
      </c>
      <c r="C187" s="9">
        <v>7</v>
      </c>
      <c r="D187" s="9">
        <v>0</v>
      </c>
      <c r="E187" s="9">
        <v>20</v>
      </c>
      <c r="F187" s="9">
        <f t="shared" si="2"/>
        <v>27</v>
      </c>
      <c r="H187" s="10">
        <v>175.17</v>
      </c>
      <c r="I187" s="10">
        <v>0</v>
      </c>
      <c r="J187" s="10">
        <v>142.74</v>
      </c>
      <c r="K187" s="10">
        <v>150.52000000000001</v>
      </c>
      <c r="M187" s="10">
        <v>376.14226000000002</v>
      </c>
      <c r="N187" s="10">
        <v>315.47908000000001</v>
      </c>
      <c r="O187" s="10">
        <v>330.03823999999997</v>
      </c>
      <c r="Q187" s="10">
        <v>2319.58</v>
      </c>
      <c r="R187" s="10">
        <v>2422.64</v>
      </c>
      <c r="S187" s="10">
        <v>2397.91</v>
      </c>
    </row>
    <row r="188" spans="1:19" x14ac:dyDescent="0.2">
      <c r="A188" s="9" t="s">
        <v>379</v>
      </c>
      <c r="B188" s="9" t="s">
        <v>380</v>
      </c>
      <c r="C188" s="9">
        <v>4</v>
      </c>
      <c r="D188" s="9">
        <v>0</v>
      </c>
      <c r="E188" s="9">
        <v>6</v>
      </c>
      <c r="F188" s="9">
        <f t="shared" si="2"/>
        <v>10</v>
      </c>
      <c r="H188" s="10">
        <v>99.75</v>
      </c>
      <c r="I188" s="10">
        <v>0</v>
      </c>
      <c r="J188" s="10">
        <v>106.25</v>
      </c>
      <c r="K188" s="10">
        <v>103</v>
      </c>
      <c r="M188" s="10">
        <v>60.1965</v>
      </c>
      <c r="N188" s="10">
        <v>105.25</v>
      </c>
      <c r="O188" s="10">
        <v>82.723249999999993</v>
      </c>
      <c r="Q188" s="10">
        <v>696.03</v>
      </c>
      <c r="R188" s="10">
        <v>1131.43</v>
      </c>
      <c r="S188" s="10">
        <v>913.73</v>
      </c>
    </row>
    <row r="189" spans="1:19" x14ac:dyDescent="0.2">
      <c r="A189" s="9" t="s">
        <v>381</v>
      </c>
      <c r="B189" s="9" t="s">
        <v>382</v>
      </c>
      <c r="C189" s="9">
        <v>7</v>
      </c>
      <c r="D189" s="9">
        <v>0</v>
      </c>
      <c r="E189" s="9">
        <v>50</v>
      </c>
      <c r="F189" s="9">
        <f t="shared" si="2"/>
        <v>57</v>
      </c>
      <c r="H189" s="10">
        <v>91</v>
      </c>
      <c r="I189" s="10">
        <v>0</v>
      </c>
      <c r="J189" s="10">
        <v>106.2</v>
      </c>
      <c r="K189" s="10">
        <v>104.68</v>
      </c>
      <c r="M189" s="10">
        <v>85.3</v>
      </c>
      <c r="N189" s="10">
        <v>107.35082000000001</v>
      </c>
      <c r="O189" s="10">
        <v>105.10074</v>
      </c>
      <c r="Q189" s="10">
        <v>993.09</v>
      </c>
      <c r="R189" s="10">
        <v>1038.19</v>
      </c>
      <c r="S189" s="10">
        <v>1033.5899999999999</v>
      </c>
    </row>
    <row r="190" spans="1:19" x14ac:dyDescent="0.2">
      <c r="A190" s="9" t="s">
        <v>383</v>
      </c>
      <c r="B190" s="9" t="s">
        <v>384</v>
      </c>
      <c r="C190" s="9">
        <v>2</v>
      </c>
      <c r="D190" s="9">
        <v>0</v>
      </c>
      <c r="E190" s="9">
        <v>44</v>
      </c>
      <c r="F190" s="9">
        <f t="shared" si="2"/>
        <v>46</v>
      </c>
      <c r="H190" s="10">
        <v>62.5</v>
      </c>
      <c r="I190" s="10">
        <v>0</v>
      </c>
      <c r="J190" s="10">
        <v>114.03</v>
      </c>
      <c r="K190" s="10">
        <v>111.52</v>
      </c>
      <c r="M190" s="10">
        <v>0</v>
      </c>
      <c r="N190" s="10">
        <v>101.34174</v>
      </c>
      <c r="O190" s="10">
        <v>99.398240000000001</v>
      </c>
      <c r="Q190" s="10">
        <v>0</v>
      </c>
      <c r="R190" s="10">
        <v>1041.55</v>
      </c>
      <c r="S190" s="10">
        <v>1043.51</v>
      </c>
    </row>
    <row r="191" spans="1:19" x14ac:dyDescent="0.2">
      <c r="A191" s="9" t="s">
        <v>385</v>
      </c>
      <c r="B191" s="9" t="s">
        <v>386</v>
      </c>
      <c r="C191" s="9">
        <v>10</v>
      </c>
      <c r="D191" s="9">
        <v>0</v>
      </c>
      <c r="E191" s="9">
        <v>61</v>
      </c>
      <c r="F191" s="9">
        <f t="shared" si="2"/>
        <v>71</v>
      </c>
      <c r="H191" s="10">
        <v>110.44</v>
      </c>
      <c r="I191" s="10">
        <v>0</v>
      </c>
      <c r="J191" s="10">
        <v>82.02</v>
      </c>
      <c r="K191" s="10">
        <v>85.9</v>
      </c>
      <c r="M191" s="10">
        <v>126.39322</v>
      </c>
      <c r="N191" s="10">
        <v>118.10289</v>
      </c>
      <c r="O191" s="10">
        <v>119.13918</v>
      </c>
      <c r="Q191" s="10">
        <v>1326.1</v>
      </c>
      <c r="R191" s="10">
        <v>1508.66</v>
      </c>
      <c r="S191" s="10">
        <v>1485.84</v>
      </c>
    </row>
    <row r="192" spans="1:19" x14ac:dyDescent="0.2">
      <c r="A192" s="9" t="s">
        <v>387</v>
      </c>
      <c r="B192" s="9" t="s">
        <v>388</v>
      </c>
      <c r="C192" s="9">
        <v>2</v>
      </c>
      <c r="D192" s="9">
        <v>0</v>
      </c>
      <c r="E192" s="9">
        <v>12</v>
      </c>
      <c r="F192" s="9">
        <f t="shared" si="2"/>
        <v>14</v>
      </c>
      <c r="H192" s="10">
        <v>68</v>
      </c>
      <c r="I192" s="10">
        <v>0</v>
      </c>
      <c r="J192" s="10">
        <v>135.27000000000001</v>
      </c>
      <c r="K192" s="10">
        <v>124.92</v>
      </c>
      <c r="M192" s="10">
        <v>0</v>
      </c>
      <c r="N192" s="10">
        <v>176.72816</v>
      </c>
      <c r="O192" s="10">
        <v>167.84690000000001</v>
      </c>
      <c r="Q192" s="10">
        <v>0</v>
      </c>
      <c r="R192" s="10">
        <v>1604.53</v>
      </c>
      <c r="S192" s="10">
        <v>1653.27</v>
      </c>
    </row>
    <row r="193" spans="1:19" x14ac:dyDescent="0.2">
      <c r="A193" s="9" t="s">
        <v>389</v>
      </c>
      <c r="B193" s="9" t="s">
        <v>390</v>
      </c>
      <c r="C193" s="9">
        <v>11</v>
      </c>
      <c r="D193" s="9">
        <v>0</v>
      </c>
      <c r="E193" s="9">
        <v>59</v>
      </c>
      <c r="F193" s="9">
        <f t="shared" si="2"/>
        <v>70</v>
      </c>
      <c r="H193" s="10">
        <v>66.819999999999993</v>
      </c>
      <c r="I193" s="10">
        <v>0</v>
      </c>
      <c r="J193" s="10">
        <v>77.23</v>
      </c>
      <c r="K193" s="10">
        <v>75.55</v>
      </c>
      <c r="M193" s="10">
        <v>111.38182</v>
      </c>
      <c r="N193" s="10">
        <v>124.50081</v>
      </c>
      <c r="O193" s="10">
        <v>122.31430999999999</v>
      </c>
      <c r="Q193" s="10">
        <v>1658.06</v>
      </c>
      <c r="R193" s="10">
        <v>1720.22</v>
      </c>
      <c r="S193" s="10">
        <v>1709.86</v>
      </c>
    </row>
    <row r="194" spans="1:19" x14ac:dyDescent="0.2">
      <c r="A194" s="9" t="s">
        <v>391</v>
      </c>
      <c r="B194" s="9" t="s">
        <v>392</v>
      </c>
      <c r="C194" s="9">
        <v>0</v>
      </c>
      <c r="D194" s="9">
        <v>0</v>
      </c>
      <c r="E194" s="9">
        <v>65</v>
      </c>
      <c r="F194" s="9">
        <f t="shared" si="2"/>
        <v>65</v>
      </c>
      <c r="H194" s="10">
        <v>0</v>
      </c>
      <c r="I194" s="10">
        <v>0</v>
      </c>
      <c r="J194" s="10">
        <v>95.48</v>
      </c>
      <c r="K194" s="10">
        <v>95.48</v>
      </c>
      <c r="M194" s="10">
        <v>0</v>
      </c>
      <c r="N194" s="10">
        <v>84.205839999999995</v>
      </c>
      <c r="O194" s="10">
        <v>84.205839999999995</v>
      </c>
      <c r="Q194" s="10">
        <v>0</v>
      </c>
      <c r="R194" s="10">
        <v>832.19</v>
      </c>
      <c r="S194" s="10">
        <v>832.19</v>
      </c>
    </row>
    <row r="195" spans="1:19" x14ac:dyDescent="0.2">
      <c r="A195" s="1" t="s">
        <v>393</v>
      </c>
      <c r="B195" s="1" t="s">
        <v>394</v>
      </c>
      <c r="C195" s="9">
        <v>0</v>
      </c>
      <c r="D195" s="9">
        <v>0</v>
      </c>
      <c r="E195" s="9">
        <v>46</v>
      </c>
      <c r="F195" s="9">
        <f t="shared" si="2"/>
        <v>46</v>
      </c>
      <c r="H195" s="10">
        <v>0</v>
      </c>
      <c r="I195" s="10">
        <v>0</v>
      </c>
      <c r="J195" s="10">
        <v>86.24</v>
      </c>
      <c r="K195" s="10">
        <v>86.24</v>
      </c>
      <c r="M195" s="10">
        <v>0</v>
      </c>
      <c r="N195" s="10">
        <v>173.45262</v>
      </c>
      <c r="O195" s="10">
        <v>173.45262</v>
      </c>
      <c r="Q195" s="10">
        <v>0</v>
      </c>
      <c r="R195" s="10">
        <v>2149.29</v>
      </c>
      <c r="S195" s="10">
        <v>2149.29</v>
      </c>
    </row>
    <row r="196" spans="1:19" x14ac:dyDescent="0.2">
      <c r="A196" s="1" t="s">
        <v>395</v>
      </c>
      <c r="B196" s="1" t="s">
        <v>396</v>
      </c>
      <c r="C196" s="9">
        <v>0</v>
      </c>
      <c r="D196" s="9">
        <v>0</v>
      </c>
      <c r="E196" s="9">
        <v>25</v>
      </c>
      <c r="F196" s="9">
        <f t="shared" si="2"/>
        <v>25</v>
      </c>
      <c r="H196" s="10">
        <v>0</v>
      </c>
      <c r="I196" s="10">
        <v>0</v>
      </c>
      <c r="J196" s="10">
        <v>111.72</v>
      </c>
      <c r="K196" s="10">
        <v>111.72</v>
      </c>
      <c r="M196" s="10">
        <v>0</v>
      </c>
      <c r="N196" s="10">
        <v>63.214269999999999</v>
      </c>
      <c r="O196" s="10">
        <v>63.214269999999999</v>
      </c>
      <c r="Q196" s="10">
        <v>0</v>
      </c>
      <c r="R196" s="10">
        <v>629.09</v>
      </c>
      <c r="S196" s="10">
        <v>629.09</v>
      </c>
    </row>
    <row r="197" spans="1:19" x14ac:dyDescent="0.2">
      <c r="A197" s="1" t="s">
        <v>397</v>
      </c>
      <c r="B197" s="1" t="s">
        <v>398</v>
      </c>
      <c r="C197" s="9">
        <v>1</v>
      </c>
      <c r="D197" s="9">
        <v>0</v>
      </c>
      <c r="E197" s="9">
        <v>10</v>
      </c>
      <c r="F197" s="9">
        <f t="shared" si="2"/>
        <v>11</v>
      </c>
      <c r="H197" s="10">
        <v>94</v>
      </c>
      <c r="I197" s="10">
        <v>0</v>
      </c>
      <c r="J197" s="10">
        <v>91</v>
      </c>
      <c r="K197" s="10">
        <v>91.27</v>
      </c>
      <c r="M197" s="10">
        <v>0</v>
      </c>
      <c r="N197" s="10">
        <v>40.475000000000001</v>
      </c>
      <c r="O197" s="10">
        <v>40.431820000000002</v>
      </c>
      <c r="Q197" s="10">
        <v>0</v>
      </c>
      <c r="R197" s="10">
        <v>505.95</v>
      </c>
      <c r="S197" s="10">
        <v>498.64</v>
      </c>
    </row>
    <row r="198" spans="1:19" x14ac:dyDescent="0.2">
      <c r="A198" s="1" t="s">
        <v>399</v>
      </c>
      <c r="B198" s="1" t="s">
        <v>400</v>
      </c>
      <c r="C198" s="9">
        <v>0</v>
      </c>
      <c r="D198" s="9">
        <v>0</v>
      </c>
      <c r="E198" s="9">
        <v>15</v>
      </c>
      <c r="F198" s="9">
        <f t="shared" ref="F198:F215" si="3">SUM(C198:E198)</f>
        <v>15</v>
      </c>
      <c r="H198" s="10">
        <v>0</v>
      </c>
      <c r="I198" s="10">
        <v>0</v>
      </c>
      <c r="J198" s="10">
        <v>115.86</v>
      </c>
      <c r="K198" s="10">
        <v>115.86</v>
      </c>
      <c r="M198" s="10">
        <v>0</v>
      </c>
      <c r="N198" s="10">
        <v>177.69649999999999</v>
      </c>
      <c r="O198" s="10">
        <v>177.69649999999999</v>
      </c>
      <c r="Q198" s="10">
        <v>0</v>
      </c>
      <c r="R198" s="10">
        <v>1882.05</v>
      </c>
      <c r="S198" s="10">
        <v>1882.05</v>
      </c>
    </row>
    <row r="199" spans="1:19" x14ac:dyDescent="0.2">
      <c r="A199" s="1" t="s">
        <v>401</v>
      </c>
      <c r="B199" s="1" t="s">
        <v>402</v>
      </c>
      <c r="C199" s="9">
        <v>8</v>
      </c>
      <c r="D199" s="9">
        <v>0</v>
      </c>
      <c r="E199" s="9">
        <v>18</v>
      </c>
      <c r="F199" s="9">
        <f t="shared" si="3"/>
        <v>26</v>
      </c>
      <c r="H199" s="10">
        <v>179.71</v>
      </c>
      <c r="I199" s="10">
        <v>0</v>
      </c>
      <c r="J199" s="10">
        <v>148.06</v>
      </c>
      <c r="K199" s="10">
        <v>156.91999999999999</v>
      </c>
      <c r="M199" s="10">
        <v>201.14285999999998</v>
      </c>
      <c r="N199" s="10">
        <v>179.24785</v>
      </c>
      <c r="O199" s="10">
        <v>185.37845000000002</v>
      </c>
      <c r="Q199" s="10">
        <v>1253.45</v>
      </c>
      <c r="R199" s="10">
        <v>1464.24</v>
      </c>
      <c r="S199" s="10">
        <v>1405.22</v>
      </c>
    </row>
    <row r="200" spans="1:19" x14ac:dyDescent="0.2">
      <c r="A200" s="1" t="s">
        <v>403</v>
      </c>
      <c r="B200" s="1" t="s">
        <v>404</v>
      </c>
      <c r="C200" s="9">
        <v>1</v>
      </c>
      <c r="D200" s="9">
        <v>0</v>
      </c>
      <c r="E200" s="9">
        <v>37</v>
      </c>
      <c r="F200" s="9">
        <f t="shared" si="3"/>
        <v>38</v>
      </c>
      <c r="H200" s="10">
        <v>0</v>
      </c>
      <c r="I200" s="10">
        <v>0</v>
      </c>
      <c r="J200" s="10">
        <v>73.83</v>
      </c>
      <c r="K200" s="10">
        <v>73.83</v>
      </c>
      <c r="M200" s="10">
        <v>0</v>
      </c>
      <c r="N200" s="10">
        <v>89.441690000000008</v>
      </c>
      <c r="O200" s="10">
        <v>89.441690000000008</v>
      </c>
      <c r="Q200" s="10">
        <v>0</v>
      </c>
      <c r="R200" s="10">
        <v>1135.1600000000001</v>
      </c>
      <c r="S200" s="10">
        <v>1135.1600000000001</v>
      </c>
    </row>
    <row r="201" spans="1:19" x14ac:dyDescent="0.2">
      <c r="A201" s="1" t="s">
        <v>405</v>
      </c>
      <c r="B201" s="1" t="s">
        <v>406</v>
      </c>
      <c r="C201" s="9">
        <v>3</v>
      </c>
      <c r="D201" s="9">
        <v>0</v>
      </c>
      <c r="E201" s="9">
        <v>13</v>
      </c>
      <c r="F201" s="9">
        <f t="shared" si="3"/>
        <v>16</v>
      </c>
      <c r="H201" s="10">
        <v>66.5</v>
      </c>
      <c r="I201" s="10">
        <v>0</v>
      </c>
      <c r="J201" s="10">
        <v>71</v>
      </c>
      <c r="K201" s="10">
        <v>70.36</v>
      </c>
      <c r="M201" s="10">
        <v>63.5</v>
      </c>
      <c r="N201" s="10">
        <v>99.801360000000003</v>
      </c>
      <c r="O201" s="10">
        <v>94.216539999999995</v>
      </c>
      <c r="Q201" s="10">
        <v>954.8</v>
      </c>
      <c r="R201" s="10">
        <v>1432.13</v>
      </c>
      <c r="S201" s="10">
        <v>1358.69</v>
      </c>
    </row>
    <row r="202" spans="1:19" x14ac:dyDescent="0.2">
      <c r="A202" s="1" t="s">
        <v>407</v>
      </c>
      <c r="B202" s="1" t="s">
        <v>408</v>
      </c>
      <c r="C202" s="9">
        <v>20</v>
      </c>
      <c r="D202" s="9">
        <v>0</v>
      </c>
      <c r="E202" s="9">
        <v>124</v>
      </c>
      <c r="F202" s="9">
        <f t="shared" si="3"/>
        <v>144</v>
      </c>
      <c r="H202" s="10">
        <v>67.849999999999994</v>
      </c>
      <c r="I202" s="10">
        <v>0</v>
      </c>
      <c r="J202" s="10">
        <v>88.26</v>
      </c>
      <c r="K202" s="10">
        <v>85.26</v>
      </c>
      <c r="M202" s="10">
        <v>45.876580000000004</v>
      </c>
      <c r="N202" s="10">
        <v>99.325289999999995</v>
      </c>
      <c r="O202" s="10">
        <v>91.802880000000002</v>
      </c>
      <c r="Q202" s="10">
        <v>619.37</v>
      </c>
      <c r="R202" s="10">
        <v>1150.23</v>
      </c>
      <c r="S202" s="10">
        <v>1075.52</v>
      </c>
    </row>
    <row r="203" spans="1:19" x14ac:dyDescent="0.2">
      <c r="A203" s="1" t="s">
        <v>409</v>
      </c>
      <c r="B203" s="1" t="s">
        <v>410</v>
      </c>
      <c r="C203" s="9">
        <v>19</v>
      </c>
      <c r="D203" s="9">
        <v>2</v>
      </c>
      <c r="E203" s="9">
        <v>102</v>
      </c>
      <c r="F203" s="9">
        <f t="shared" si="3"/>
        <v>123</v>
      </c>
      <c r="H203" s="10">
        <v>107.88</v>
      </c>
      <c r="I203" s="10">
        <v>73</v>
      </c>
      <c r="J203" s="10">
        <v>81.010000000000005</v>
      </c>
      <c r="K203" s="10">
        <v>85.09</v>
      </c>
      <c r="M203" s="10">
        <v>104.88824000000001</v>
      </c>
      <c r="N203" s="10">
        <v>106.04769</v>
      </c>
      <c r="O203" s="10">
        <v>105.85253999999999</v>
      </c>
      <c r="Q203" s="10">
        <v>1092.02</v>
      </c>
      <c r="R203" s="10">
        <v>1368.41</v>
      </c>
      <c r="S203" s="10">
        <v>1321.89</v>
      </c>
    </row>
    <row r="204" spans="1:19" x14ac:dyDescent="0.2">
      <c r="A204" s="1" t="s">
        <v>411</v>
      </c>
      <c r="B204" s="1" t="s">
        <v>412</v>
      </c>
      <c r="C204" s="9">
        <v>3</v>
      </c>
      <c r="D204" s="9">
        <v>0</v>
      </c>
      <c r="E204" s="9">
        <v>18</v>
      </c>
      <c r="F204" s="9">
        <f t="shared" si="3"/>
        <v>21</v>
      </c>
      <c r="H204" s="10">
        <v>100</v>
      </c>
      <c r="I204" s="10">
        <v>0</v>
      </c>
      <c r="J204" s="10">
        <v>117.5</v>
      </c>
      <c r="K204" s="10">
        <v>115.56</v>
      </c>
      <c r="M204" s="10">
        <v>54.8</v>
      </c>
      <c r="N204" s="10">
        <v>121.41922</v>
      </c>
      <c r="O204" s="10">
        <v>114.01564</v>
      </c>
      <c r="Q204" s="10">
        <v>576.4</v>
      </c>
      <c r="R204" s="10">
        <v>1105.08</v>
      </c>
      <c r="S204" s="10">
        <v>1046.3399999999999</v>
      </c>
    </row>
    <row r="205" spans="1:19" x14ac:dyDescent="0.2">
      <c r="A205" s="1" t="s">
        <v>413</v>
      </c>
      <c r="B205" s="1" t="s">
        <v>414</v>
      </c>
      <c r="C205" s="9">
        <v>2</v>
      </c>
      <c r="D205" s="9">
        <v>0</v>
      </c>
      <c r="E205" s="9">
        <v>26</v>
      </c>
      <c r="F205" s="9">
        <f t="shared" si="3"/>
        <v>28</v>
      </c>
      <c r="H205" s="10">
        <v>67</v>
      </c>
      <c r="I205" s="10">
        <v>0</v>
      </c>
      <c r="J205" s="10">
        <v>95.05</v>
      </c>
      <c r="K205" s="10">
        <v>92.71</v>
      </c>
      <c r="M205" s="10">
        <v>0</v>
      </c>
      <c r="N205" s="10">
        <v>158.43759</v>
      </c>
      <c r="O205" s="10">
        <v>153.13867000000002</v>
      </c>
      <c r="Q205" s="10">
        <v>0</v>
      </c>
      <c r="R205" s="10">
        <v>1638.29</v>
      </c>
      <c r="S205" s="10">
        <v>1620.89</v>
      </c>
    </row>
    <row r="206" spans="1:19" x14ac:dyDescent="0.2">
      <c r="A206" s="1" t="s">
        <v>415</v>
      </c>
      <c r="B206" s="1" t="s">
        <v>416</v>
      </c>
      <c r="C206" s="9">
        <v>1</v>
      </c>
      <c r="D206" s="9">
        <v>0</v>
      </c>
      <c r="E206" s="9">
        <v>154</v>
      </c>
      <c r="F206" s="9">
        <f t="shared" si="3"/>
        <v>155</v>
      </c>
      <c r="H206" s="10">
        <v>98</v>
      </c>
      <c r="I206" s="10">
        <v>0</v>
      </c>
      <c r="J206" s="10">
        <v>85.62</v>
      </c>
      <c r="K206" s="10">
        <v>85.7</v>
      </c>
      <c r="M206" s="10">
        <v>0</v>
      </c>
      <c r="N206" s="10">
        <v>172.80865</v>
      </c>
      <c r="O206" s="10">
        <v>173.12503000000001</v>
      </c>
      <c r="Q206" s="10">
        <v>0</v>
      </c>
      <c r="R206" s="10">
        <v>2086.71</v>
      </c>
      <c r="S206" s="10">
        <v>2087.7199999999998</v>
      </c>
    </row>
    <row r="207" spans="1:19" x14ac:dyDescent="0.2">
      <c r="A207" s="1" t="s">
        <v>417</v>
      </c>
      <c r="B207" s="1" t="s">
        <v>418</v>
      </c>
      <c r="C207" s="9">
        <v>0</v>
      </c>
      <c r="D207" s="9">
        <v>0</v>
      </c>
      <c r="E207" s="9">
        <v>14</v>
      </c>
      <c r="F207" s="9">
        <f t="shared" si="3"/>
        <v>14</v>
      </c>
      <c r="H207" s="10">
        <v>0</v>
      </c>
      <c r="I207" s="10">
        <v>0</v>
      </c>
      <c r="J207" s="10">
        <v>190.33</v>
      </c>
      <c r="K207" s="10">
        <v>190.33</v>
      </c>
      <c r="M207" s="10">
        <v>0</v>
      </c>
      <c r="N207" s="10">
        <v>269.83332999999999</v>
      </c>
      <c r="O207" s="10">
        <v>269.83332999999999</v>
      </c>
      <c r="Q207" s="10">
        <v>0</v>
      </c>
      <c r="R207" s="10">
        <v>1502.98</v>
      </c>
      <c r="S207" s="10">
        <v>1502.98</v>
      </c>
    </row>
    <row r="208" spans="1:19" x14ac:dyDescent="0.2">
      <c r="A208" s="1" t="s">
        <v>419</v>
      </c>
      <c r="B208" s="1" t="s">
        <v>420</v>
      </c>
      <c r="C208" s="9">
        <v>1</v>
      </c>
      <c r="D208" s="9">
        <v>0</v>
      </c>
      <c r="E208" s="9">
        <v>8</v>
      </c>
      <c r="F208" s="9">
        <f t="shared" si="3"/>
        <v>9</v>
      </c>
      <c r="H208" s="10">
        <v>291</v>
      </c>
      <c r="I208" s="10">
        <v>0</v>
      </c>
      <c r="J208" s="10">
        <v>120.17</v>
      </c>
      <c r="K208" s="10">
        <v>144.57</v>
      </c>
      <c r="M208" s="10">
        <v>0</v>
      </c>
      <c r="N208" s="10">
        <v>112.6005</v>
      </c>
      <c r="O208" s="10">
        <v>137.94329000000002</v>
      </c>
      <c r="Q208" s="10">
        <v>0</v>
      </c>
      <c r="R208" s="10">
        <v>924.01</v>
      </c>
      <c r="S208" s="10">
        <v>934.37</v>
      </c>
    </row>
    <row r="209" spans="1:19" x14ac:dyDescent="0.2">
      <c r="A209" s="1" t="s">
        <v>421</v>
      </c>
      <c r="B209" s="1" t="s">
        <v>422</v>
      </c>
      <c r="C209" s="9">
        <v>7</v>
      </c>
      <c r="D209" s="9">
        <v>7</v>
      </c>
      <c r="E209" s="9">
        <v>69</v>
      </c>
      <c r="F209" s="9">
        <f t="shared" si="3"/>
        <v>83</v>
      </c>
      <c r="H209" s="10">
        <v>113.33</v>
      </c>
      <c r="I209" s="10">
        <v>80.2</v>
      </c>
      <c r="J209" s="10">
        <v>110.44</v>
      </c>
      <c r="K209" s="10">
        <v>108.7</v>
      </c>
      <c r="M209" s="10">
        <v>118.83333</v>
      </c>
      <c r="N209" s="10">
        <v>125.31866000000001</v>
      </c>
      <c r="O209" s="10">
        <v>124.69105</v>
      </c>
      <c r="Q209" s="10">
        <v>1268.21</v>
      </c>
      <c r="R209" s="10">
        <v>1285.7</v>
      </c>
      <c r="S209" s="10">
        <v>1284.01</v>
      </c>
    </row>
    <row r="210" spans="1:19" x14ac:dyDescent="0.2">
      <c r="A210" s="1" t="s">
        <v>423</v>
      </c>
      <c r="B210" s="1" t="s">
        <v>424</v>
      </c>
      <c r="C210" s="9">
        <v>2</v>
      </c>
      <c r="D210" s="9">
        <v>0</v>
      </c>
      <c r="E210" s="9">
        <v>17</v>
      </c>
      <c r="F210" s="9">
        <f t="shared" si="3"/>
        <v>19</v>
      </c>
      <c r="H210" s="10">
        <v>159</v>
      </c>
      <c r="I210" s="10">
        <v>0</v>
      </c>
      <c r="J210" s="10">
        <v>78.2</v>
      </c>
      <c r="K210" s="10">
        <v>87.71</v>
      </c>
      <c r="M210" s="10">
        <v>0</v>
      </c>
      <c r="N210" s="10">
        <v>59.206129999999995</v>
      </c>
      <c r="O210" s="10">
        <v>58.393639999999998</v>
      </c>
      <c r="Q210" s="10">
        <v>0</v>
      </c>
      <c r="R210" s="10">
        <v>751.46</v>
      </c>
      <c r="S210" s="10">
        <v>707.2</v>
      </c>
    </row>
    <row r="211" spans="1:19" x14ac:dyDescent="0.2">
      <c r="A211" s="1" t="s">
        <v>425</v>
      </c>
      <c r="B211" s="1" t="s">
        <v>426</v>
      </c>
      <c r="C211" s="9">
        <v>2</v>
      </c>
      <c r="D211" s="9">
        <v>0</v>
      </c>
      <c r="E211" s="9">
        <v>12</v>
      </c>
      <c r="F211" s="9">
        <f t="shared" si="3"/>
        <v>14</v>
      </c>
      <c r="H211" s="10">
        <v>162.5</v>
      </c>
      <c r="I211" s="10">
        <v>0</v>
      </c>
      <c r="J211" s="10">
        <v>161.80000000000001</v>
      </c>
      <c r="K211" s="10">
        <v>161.91999999999999</v>
      </c>
      <c r="M211" s="10">
        <v>0</v>
      </c>
      <c r="N211" s="10">
        <v>278.60000000000002</v>
      </c>
      <c r="O211" s="10">
        <v>264.25</v>
      </c>
      <c r="Q211" s="10">
        <v>0</v>
      </c>
      <c r="R211" s="10">
        <v>1846.4</v>
      </c>
      <c r="S211" s="10">
        <v>1763.7</v>
      </c>
    </row>
    <row r="212" spans="1:19" x14ac:dyDescent="0.2">
      <c r="A212" s="1" t="s">
        <v>427</v>
      </c>
      <c r="B212" s="1" t="s">
        <v>428</v>
      </c>
      <c r="C212" s="9">
        <v>14</v>
      </c>
      <c r="D212" s="9">
        <v>0</v>
      </c>
      <c r="E212" s="9">
        <v>273</v>
      </c>
      <c r="F212" s="9">
        <f t="shared" si="3"/>
        <v>287</v>
      </c>
      <c r="H212" s="10">
        <v>72.77</v>
      </c>
      <c r="I212" s="10">
        <v>0</v>
      </c>
      <c r="J212" s="10">
        <v>81.06</v>
      </c>
      <c r="K212" s="10">
        <v>80.64</v>
      </c>
      <c r="M212" s="10">
        <v>154.97135</v>
      </c>
      <c r="N212" s="10">
        <v>142.85254999999998</v>
      </c>
      <c r="O212" s="10">
        <v>143.48022</v>
      </c>
      <c r="Q212" s="10">
        <v>2705.64</v>
      </c>
      <c r="R212" s="10">
        <v>2248.69</v>
      </c>
      <c r="S212" s="10">
        <v>2272.36</v>
      </c>
    </row>
    <row r="213" spans="1:19" x14ac:dyDescent="0.2">
      <c r="A213" s="1" t="s">
        <v>429</v>
      </c>
      <c r="B213" s="1" t="s">
        <v>430</v>
      </c>
      <c r="C213" s="9">
        <v>0</v>
      </c>
      <c r="D213" s="9">
        <v>0</v>
      </c>
      <c r="E213" s="9">
        <v>75</v>
      </c>
      <c r="F213" s="9">
        <f t="shared" si="3"/>
        <v>75</v>
      </c>
      <c r="H213" s="10">
        <v>0</v>
      </c>
      <c r="I213" s="10">
        <v>0</v>
      </c>
      <c r="J213" s="10">
        <v>69.33</v>
      </c>
      <c r="K213" s="10">
        <v>69.33</v>
      </c>
      <c r="M213" s="10">
        <v>0</v>
      </c>
      <c r="N213" s="10">
        <v>127.86105000000001</v>
      </c>
      <c r="O213" s="10">
        <v>127.86105000000001</v>
      </c>
      <c r="Q213" s="10">
        <v>0</v>
      </c>
      <c r="R213" s="10">
        <v>1942.13</v>
      </c>
      <c r="S213" s="10">
        <v>1942.13</v>
      </c>
    </row>
    <row r="214" spans="1:19" x14ac:dyDescent="0.2">
      <c r="A214" s="1" t="s">
        <v>431</v>
      </c>
      <c r="B214" s="1" t="s">
        <v>432</v>
      </c>
      <c r="C214" s="9">
        <v>0</v>
      </c>
      <c r="D214" s="9">
        <v>0</v>
      </c>
      <c r="E214" s="9">
        <v>18</v>
      </c>
      <c r="F214" s="9">
        <f t="shared" si="3"/>
        <v>18</v>
      </c>
      <c r="H214" s="10">
        <v>0</v>
      </c>
      <c r="I214" s="10">
        <v>0</v>
      </c>
      <c r="J214" s="10">
        <v>148.5</v>
      </c>
      <c r="K214" s="10">
        <v>148.5</v>
      </c>
      <c r="M214" s="10">
        <v>0</v>
      </c>
      <c r="N214" s="10">
        <v>330.40789000000001</v>
      </c>
      <c r="O214" s="10">
        <v>330.40789000000001</v>
      </c>
      <c r="Q214" s="10">
        <v>0</v>
      </c>
      <c r="R214" s="10">
        <v>2263.42</v>
      </c>
      <c r="S214" s="10">
        <v>2263.42</v>
      </c>
    </row>
    <row r="215" spans="1:19" x14ac:dyDescent="0.2">
      <c r="A215" s="1" t="s">
        <v>433</v>
      </c>
      <c r="B215" s="1" t="s">
        <v>434</v>
      </c>
      <c r="C215" s="9">
        <v>3</v>
      </c>
      <c r="D215" s="9">
        <v>0</v>
      </c>
      <c r="E215" s="9">
        <v>45</v>
      </c>
      <c r="F215" s="9">
        <f t="shared" si="3"/>
        <v>48</v>
      </c>
      <c r="H215" s="10">
        <v>64.33</v>
      </c>
      <c r="I215" s="10">
        <v>0</v>
      </c>
      <c r="J215" s="10">
        <v>118.45</v>
      </c>
      <c r="K215" s="10">
        <v>115</v>
      </c>
      <c r="M215" s="10">
        <v>114.3</v>
      </c>
      <c r="N215" s="10">
        <v>321.83534999999995</v>
      </c>
      <c r="O215" s="10">
        <v>310.50542999999999</v>
      </c>
      <c r="Q215" s="10">
        <v>2244.1</v>
      </c>
      <c r="R215" s="10">
        <v>2966.53</v>
      </c>
      <c r="S215" s="10">
        <v>2920.42</v>
      </c>
    </row>
    <row r="216" spans="1:19" s="19" customFormat="1" x14ac:dyDescent="0.2">
      <c r="A216" s="15"/>
      <c r="B216" s="16" t="s">
        <v>11</v>
      </c>
      <c r="C216" s="15">
        <v>323</v>
      </c>
      <c r="D216" s="15">
        <v>2</v>
      </c>
      <c r="E216" s="15">
        <v>1389</v>
      </c>
      <c r="F216" s="17">
        <f>SUM(C216:E216)</f>
        <v>1714</v>
      </c>
      <c r="G216" s="15"/>
      <c r="H216" s="18">
        <v>126.02</v>
      </c>
      <c r="I216" s="18">
        <v>64</v>
      </c>
      <c r="J216" s="18">
        <v>120.56</v>
      </c>
      <c r="K216" s="18">
        <v>121.54</v>
      </c>
      <c r="L216" s="15"/>
      <c r="M216" s="18">
        <v>162.97879999999998</v>
      </c>
      <c r="N216" s="18">
        <v>155.14333999999999</v>
      </c>
      <c r="O216" s="18">
        <v>156.62162000000001</v>
      </c>
      <c r="P216" s="15"/>
      <c r="Q216" s="18">
        <v>1331.32</v>
      </c>
      <c r="R216" s="18">
        <v>1353.34</v>
      </c>
      <c r="S216" s="18">
        <v>1349.18</v>
      </c>
    </row>
    <row r="218" spans="1:19" x14ac:dyDescent="0.2">
      <c r="B218" s="14" t="s">
        <v>12</v>
      </c>
    </row>
  </sheetData>
  <phoneticPr fontId="5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4t18_acum</vt:lpstr>
      <vt:lpstr>3t18_acum</vt:lpstr>
      <vt:lpstr>2t18_acum</vt:lpstr>
      <vt:lpstr>1t18_acum</vt:lpstr>
    </vt:vector>
  </TitlesOfParts>
  <Company>Departament de Medi Ambient i Habitatge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Galan Valls, Aitor</cp:lastModifiedBy>
  <dcterms:created xsi:type="dcterms:W3CDTF">2015-05-19T08:29:00Z</dcterms:created>
  <dcterms:modified xsi:type="dcterms:W3CDTF">2019-02-22T13:42:20Z</dcterms:modified>
</cp:coreProperties>
</file>
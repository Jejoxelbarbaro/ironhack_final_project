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520" windowHeight="12840"/>
  </bookViews>
  <sheets>
    <sheet name="4t19_acum" sheetId="5" r:id="rId1"/>
    <sheet name="3t19_acum" sheetId="4" r:id="rId2"/>
    <sheet name="2t19_acum" sheetId="3" r:id="rId3"/>
    <sheet name="1t19_acum" sheetId="2" r:id="rId4"/>
  </sheets>
  <definedNames>
    <definedName name="_xlnm._FilterDatabase" localSheetId="3" hidden="1">'1t19_acum'!$A$5:$F$217</definedName>
    <definedName name="_xlnm._FilterDatabase" localSheetId="2" hidden="1">'2t19_acum'!$A$5:$F$217</definedName>
    <definedName name="_xlnm._FilterDatabase" localSheetId="1" hidden="1">'3t19_acum'!$A$5:$F$217</definedName>
    <definedName name="_xlnm._FilterDatabase" localSheetId="0" hidden="1">'4t19_acum'!$A$5:$F$217</definedName>
  </definedNames>
  <calcPr calcId="145621"/>
</workbook>
</file>

<file path=xl/calcChain.xml><?xml version="1.0" encoding="utf-8"?>
<calcChain xmlns="http://schemas.openxmlformats.org/spreadsheetml/2006/main">
  <c r="F217" i="5" l="1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17" i="4" l="1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217" i="3" l="1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</calcChain>
</file>

<file path=xl/sharedStrings.xml><?xml version="1.0" encoding="utf-8"?>
<sst xmlns="http://schemas.openxmlformats.org/spreadsheetml/2006/main" count="1784" uniqueCount="440">
  <si>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</si>
  <si>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</si>
  <si>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</si>
  <si>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</si>
  <si>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</si>
  <si>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</si>
  <si>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</si>
  <si>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</si>
  <si>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</si>
  <si>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</si>
  <si>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</si>
  <si>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</si>
  <si>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</si>
  <si>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</si>
  <si>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</si>
  <si>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</si>
  <si>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</si>
  <si>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</si>
  <si>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</si>
  <si>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</si>
  <si>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</si>
  <si>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</si>
  <si>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</si>
  <si>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</si>
  <si>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</si>
  <si>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</si>
  <si>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</si>
  <si>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</si>
  <si>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</si>
  <si>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</si>
  <si>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</si>
  <si>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</si>
  <si>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</si>
  <si>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</si>
  <si>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</si>
  <si>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</si>
  <si>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</si>
  <si>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</si>
  <si>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</si>
  <si>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</si>
  <si>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</si>
  <si>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</si>
  <si>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</si>
  <si>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</si>
  <si>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</si>
  <si>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</si>
  <si>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</si>
  <si>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</si>
  <si>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</si>
  <si>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</si>
  <si>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</si>
  <si>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</si>
  <si>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</si>
  <si>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</si>
  <si>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</si>
  <si>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</si>
  <si>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</si>
  <si>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</si>
  <si>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</si>
  <si>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</si>
  <si>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</si>
  <si>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</si>
  <si>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</si>
  <si>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</si>
  <si>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</si>
  <si>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</si>
  <si>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</si>
  <si>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</si>
  <si>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</si>
  <si>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Bigues i Riells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</si>
  <si>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</si>
  <si>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</si>
  <si>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</si>
  <si>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</si>
  <si>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</si>
  <si>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</si>
  <si>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</si>
  <si>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</si>
  <si>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</si>
  <si>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</si>
  <si>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</si>
  <si>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</si>
  <si>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</si>
  <si>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</si>
  <si>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</si>
  <si>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</si>
  <si>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</si>
  <si>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</si>
  <si>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</si>
  <si>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</si>
  <si>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</si>
  <si>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</si>
  <si>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</si>
  <si>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Canonja, la (1)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</si>
  <si>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</si>
  <si>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</si>
  <si>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</si>
  <si>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</si>
  <si>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</si>
  <si>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</si>
  <si>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</si>
  <si>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</si>
  <si>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</si>
  <si>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</si>
  <si>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</si>
  <si>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</si>
  <si>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</si>
  <si>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</si>
  <si>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</si>
  <si>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</si>
  <si>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</si>
  <si>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Castell-Platja d'Aro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</si>
  <si>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</si>
  <si>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</si>
  <si>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</si>
  <si>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</si>
  <si>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</si>
  <si>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</si>
  <si>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</si>
  <si>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</si>
  <si>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</si>
  <si>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</si>
  <si>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</si>
  <si>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</si>
  <si>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</si>
  <si>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</si>
  <si>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</si>
  <si>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</si>
  <si>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</si>
  <si>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</si>
  <si>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</si>
  <si>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</si>
  <si>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</si>
  <si>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</si>
  <si>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</si>
  <si>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</si>
  <si>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</si>
  <si>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</si>
  <si>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</si>
  <si>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</si>
  <si>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</si>
  <si>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</si>
  <si>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</si>
  <si>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</si>
  <si>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</si>
  <si>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</si>
  <si>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</si>
  <si>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</si>
  <si>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</si>
  <si>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</si>
  <si>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</si>
  <si>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</si>
  <si>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</si>
  <si>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</si>
  <si>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</si>
  <si>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</si>
  <si>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</si>
  <si>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</si>
  <si>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</si>
  <si>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</si>
  <si>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</si>
  <si>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</si>
  <si>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</si>
  <si>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</si>
  <si>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</si>
  <si>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</si>
  <si>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</si>
  <si>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</si>
  <si>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</si>
  <si>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</si>
  <si>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</si>
  <si>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</si>
  <si>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</si>
  <si>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</si>
  <si>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</si>
  <si>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</si>
  <si>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</si>
  <si>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</si>
  <si>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</si>
  <si>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</si>
  <si>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</si>
  <si>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</si>
  <si>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</si>
  <si>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</si>
  <si>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</si>
  <si>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</si>
  <si>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</si>
  <si>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</si>
  <si>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</si>
  <si>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</si>
  <si>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</si>
  <si>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</si>
  <si>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</si>
  <si>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</si>
  <si>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</si>
  <si>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</si>
  <si>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</si>
  <si>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</si>
  <si>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</si>
  <si>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</si>
  <si>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</si>
  <si>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</si>
  <si>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</si>
  <si>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</si>
  <si>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</si>
  <si>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</si>
  <si>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</si>
  <si>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</si>
  <si>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</si>
  <si>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</si>
  <si>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</si>
  <si>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</si>
  <si>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</si>
  <si>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</si>
  <si>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</si>
  <si>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</si>
  <si>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</si>
  <si>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</si>
  <si>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</si>
  <si>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</si>
  <si>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</si>
  <si>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</si>
  <si>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</si>
  <si>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</si>
  <si>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</si>
  <si>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</si>
  <si>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</si>
  <si>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</si>
  <si>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</si>
  <si>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</si>
  <si>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</si>
  <si>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</si>
  <si>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</si>
  <si>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</si>
  <si>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</si>
  <si>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</si>
  <si>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</si>
  <si>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</si>
  <si>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</si>
  <si>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</si>
  <si>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</si>
  <si>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</si>
  <si>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</si>
  <si>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</si>
  <si>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</si>
  <si>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</si>
  <si>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</si>
  <si>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</si>
  <si>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</si>
  <si>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</si>
  <si>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</si>
  <si>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</si>
  <si>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</si>
  <si>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</si>
  <si>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</si>
  <si>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</si>
  <si>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</si>
  <si>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</si>
  <si>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</si>
  <si>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</si>
  <si>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</si>
  <si>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</si>
  <si>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</si>
  <si>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</si>
  <si>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</si>
  <si>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</si>
  <si>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</si>
  <si>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</si>
  <si>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</si>
  <si>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</si>
  <si>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</si>
  <si>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</si>
  <si>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</si>
  <si>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</si>
  <si>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</si>
  <si>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</si>
  <si>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</si>
  <si>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</si>
  <si>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</si>
  <si>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</si>
  <si>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</si>
  <si>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</si>
  <si>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</si>
  <si>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</si>
  <si>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</si>
  <si>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</si>
  <si>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</si>
  <si>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</si>
  <si>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</si>
  <si>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Sant Carles de la Ràpita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</si>
  <si>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</si>
  <si>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</si>
  <si>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</si>
  <si>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</si>
  <si>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</si>
  <si>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</si>
  <si>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</si>
  <si>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</si>
  <si>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</si>
  <si>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</si>
  <si>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</si>
  <si>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</si>
  <si>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</si>
  <si>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</si>
  <si>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</si>
  <si>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</si>
  <si>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</si>
  <si>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</si>
  <si>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</si>
  <si>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</si>
  <si>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</si>
  <si>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</si>
  <si>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</si>
  <si>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</si>
  <si>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</si>
  <si>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</si>
  <si>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</si>
  <si>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</si>
  <si>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</si>
  <si>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</si>
  <si>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</si>
  <si>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</si>
  <si>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</si>
  <si>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</si>
  <si>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</si>
  <si>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</si>
  <si>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</si>
  <si>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</si>
  <si>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</si>
  <si>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</si>
  <si>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</si>
  <si>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</si>
  <si>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</si>
  <si>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</si>
  <si>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</si>
  <si>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</si>
  <si>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</si>
  <si>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</si>
  <si>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</si>
  <si>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</si>
  <si>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</si>
  <si>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</si>
  <si>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</si>
  <si>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</si>
  <si>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</si>
  <si>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</si>
  <si>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</si>
  <si>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</si>
  <si>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</si>
  <si>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</si>
  <si>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</si>
  <si>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</si>
  <si>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</si>
  <si>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</si>
  <si>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</si>
  <si>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</si>
  <si>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</si>
  <si>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</si>
  <si>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</si>
  <si>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</si>
  <si>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</si>
  <si>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</si>
  <si>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</si>
  <si>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</si>
  <si>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</si>
  <si>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</si>
  <si>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</si>
  <si>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</si>
  <si>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</si>
  <si>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Tarragona (1)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</si>
  <si>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</si>
  <si>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</si>
  <si>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</si>
  <si>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</si>
  <si>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</si>
  <si>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</si>
  <si>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</si>
  <si>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</si>
  <si>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</si>
  <si>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</si>
  <si>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</si>
  <si>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</si>
  <si>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</si>
  <si>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</si>
  <si>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</si>
  <si>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</si>
  <si>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</si>
  <si>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</si>
  <si>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</si>
  <si>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</si>
  <si>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</si>
  <si>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</si>
  <si>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</si>
  <si>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</si>
  <si>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</si>
  <si>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</si>
  <si>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</si>
  <si>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</si>
  <si>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</si>
  <si>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</si>
  <si>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</si>
  <si>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</si>
  <si>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</si>
  <si>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</si>
  <si>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</si>
  <si>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</si>
  <si>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</si>
  <si>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</si>
  <si>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</si>
  <si>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</si>
  <si>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</si>
  <si>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</si>
  <si>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</si>
  <si>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</si>
  <si>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</si>
  <si>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</si>
  <si>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</si>
  <si>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</si>
  <si>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</si>
  <si>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</si>
  <si>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</si>
  <si>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</si>
  <si>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</si>
  <si>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</si>
  <si>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</si>
  <si>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</si>
  <si>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</si>
  <si>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</si>
  <si>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</si>
  <si>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</si>
  <si>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</si>
  <si>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</si>
  <si>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</si>
  <si>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</si>
  <si>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r>
      <t>Període</t>
    </r>
    <r>
      <rPr>
        <b/>
        <sz val="10"/>
        <rFont val="Arial"/>
        <family val="2"/>
      </rPr>
      <t>: Gener-març 2019</t>
    </r>
  </si>
  <si>
    <t>25050</t>
  </si>
  <si>
    <t>Bellpuig</t>
  </si>
  <si>
    <r>
      <t>Període</t>
    </r>
    <r>
      <rPr>
        <b/>
        <sz val="10"/>
        <rFont val="Arial"/>
        <family val="2"/>
      </rPr>
      <t>: Gener-juny 2019</t>
    </r>
  </si>
  <si>
    <r>
      <t>Període</t>
    </r>
    <r>
      <rPr>
        <b/>
        <sz val="10"/>
        <rFont val="Arial"/>
        <family val="2"/>
      </rPr>
      <t>: Gener-setembre 2019</t>
    </r>
  </si>
  <si>
    <r>
      <t>Període</t>
    </r>
    <r>
      <rPr>
        <b/>
        <sz val="10"/>
        <rFont val="Arial"/>
        <family val="2"/>
      </rPr>
      <t>: Any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</si>
</sst>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3" fontId="1" fillId="0" borderId="0" xfId="0" applyNumberFormat="1" applyFont="1" applyFill="1"/>
    <xf numFmtId="164" fontId="1" fillId="0" borderId="1" xfId="0" applyNumberFormat="1" applyFont="1" applyBorder="1"/>
    <xf numFmtId="166" fontId="1" fillId="0" borderId="0" xfId="0" applyNumberFormat="1" applyFont="1"/>
    <xf numFmtId="166" fontId="1" fillId="0" borderId="1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256" width="11.42578125" style="1"/>
    <col min="257" max="257" width="11.42578125" style="1" customWidth="1"/>
    <col min="258" max="258" width="35.7109375" style="1" customWidth="1"/>
    <col min="259" max="262" width="10.7109375" style="1" customWidth="1"/>
    <col min="263" max="263" width="2.7109375" style="1" customWidth="1"/>
    <col min="264" max="267" width="10.7109375" style="1" customWidth="1"/>
    <col min="268" max="268" width="2.7109375" style="1" customWidth="1"/>
    <col min="269" max="271" width="10.7109375" style="1" customWidth="1"/>
    <col min="272" max="272" width="2.7109375" style="1" customWidth="1"/>
    <col min="273" max="275" width="10.7109375" style="1" customWidth="1"/>
    <col min="276" max="512" width="11.42578125" style="1"/>
    <col min="513" max="513" width="11.42578125" style="1" customWidth="1"/>
    <col min="514" max="514" width="35.7109375" style="1" customWidth="1"/>
    <col min="515" max="518" width="10.7109375" style="1" customWidth="1"/>
    <col min="519" max="519" width="2.7109375" style="1" customWidth="1"/>
    <col min="520" max="523" width="10.7109375" style="1" customWidth="1"/>
    <col min="524" max="524" width="2.7109375" style="1" customWidth="1"/>
    <col min="525" max="527" width="10.7109375" style="1" customWidth="1"/>
    <col min="528" max="528" width="2.7109375" style="1" customWidth="1"/>
    <col min="529" max="531" width="10.7109375" style="1" customWidth="1"/>
    <col min="532" max="768" width="11.42578125" style="1"/>
    <col min="769" max="769" width="11.42578125" style="1" customWidth="1"/>
    <col min="770" max="770" width="35.7109375" style="1" customWidth="1"/>
    <col min="771" max="774" width="10.7109375" style="1" customWidth="1"/>
    <col min="775" max="775" width="2.7109375" style="1" customWidth="1"/>
    <col min="776" max="779" width="10.7109375" style="1" customWidth="1"/>
    <col min="780" max="780" width="2.7109375" style="1" customWidth="1"/>
    <col min="781" max="783" width="10.7109375" style="1" customWidth="1"/>
    <col min="784" max="784" width="2.7109375" style="1" customWidth="1"/>
    <col min="785" max="787" width="10.7109375" style="1" customWidth="1"/>
    <col min="788" max="1024" width="11.42578125" style="1"/>
    <col min="1025" max="1025" width="11.42578125" style="1" customWidth="1"/>
    <col min="1026" max="1026" width="35.7109375" style="1" customWidth="1"/>
    <col min="1027" max="1030" width="10.7109375" style="1" customWidth="1"/>
    <col min="1031" max="1031" width="2.7109375" style="1" customWidth="1"/>
    <col min="1032" max="1035" width="10.7109375" style="1" customWidth="1"/>
    <col min="1036" max="1036" width="2.7109375" style="1" customWidth="1"/>
    <col min="1037" max="1039" width="10.7109375" style="1" customWidth="1"/>
    <col min="1040" max="1040" width="2.7109375" style="1" customWidth="1"/>
    <col min="1041" max="1043" width="10.7109375" style="1" customWidth="1"/>
    <col min="1044" max="1280" width="11.42578125" style="1"/>
    <col min="1281" max="1281" width="11.42578125" style="1" customWidth="1"/>
    <col min="1282" max="1282" width="35.7109375" style="1" customWidth="1"/>
    <col min="1283" max="1286" width="10.7109375" style="1" customWidth="1"/>
    <col min="1287" max="1287" width="2.7109375" style="1" customWidth="1"/>
    <col min="1288" max="1291" width="10.7109375" style="1" customWidth="1"/>
    <col min="1292" max="1292" width="2.7109375" style="1" customWidth="1"/>
    <col min="1293" max="1295" width="10.7109375" style="1" customWidth="1"/>
    <col min="1296" max="1296" width="2.7109375" style="1" customWidth="1"/>
    <col min="1297" max="1299" width="10.7109375" style="1" customWidth="1"/>
    <col min="1300" max="1536" width="11.42578125" style="1"/>
    <col min="1537" max="1537" width="11.42578125" style="1" customWidth="1"/>
    <col min="1538" max="1538" width="35.7109375" style="1" customWidth="1"/>
    <col min="1539" max="1542" width="10.7109375" style="1" customWidth="1"/>
    <col min="1543" max="1543" width="2.7109375" style="1" customWidth="1"/>
    <col min="1544" max="1547" width="10.7109375" style="1" customWidth="1"/>
    <col min="1548" max="1548" width="2.7109375" style="1" customWidth="1"/>
    <col min="1549" max="1551" width="10.7109375" style="1" customWidth="1"/>
    <col min="1552" max="1552" width="2.7109375" style="1" customWidth="1"/>
    <col min="1553" max="1555" width="10.7109375" style="1" customWidth="1"/>
    <col min="1556" max="1792" width="11.42578125" style="1"/>
    <col min="1793" max="1793" width="11.42578125" style="1" customWidth="1"/>
    <col min="1794" max="1794" width="35.7109375" style="1" customWidth="1"/>
    <col min="1795" max="1798" width="10.7109375" style="1" customWidth="1"/>
    <col min="1799" max="1799" width="2.7109375" style="1" customWidth="1"/>
    <col min="1800" max="1803" width="10.7109375" style="1" customWidth="1"/>
    <col min="1804" max="1804" width="2.7109375" style="1" customWidth="1"/>
    <col min="1805" max="1807" width="10.7109375" style="1" customWidth="1"/>
    <col min="1808" max="1808" width="2.7109375" style="1" customWidth="1"/>
    <col min="1809" max="1811" width="10.7109375" style="1" customWidth="1"/>
    <col min="1812" max="2048" width="11.42578125" style="1"/>
    <col min="2049" max="2049" width="11.42578125" style="1" customWidth="1"/>
    <col min="2050" max="2050" width="35.7109375" style="1" customWidth="1"/>
    <col min="2051" max="2054" width="10.7109375" style="1" customWidth="1"/>
    <col min="2055" max="2055" width="2.7109375" style="1" customWidth="1"/>
    <col min="2056" max="2059" width="10.7109375" style="1" customWidth="1"/>
    <col min="2060" max="2060" width="2.7109375" style="1" customWidth="1"/>
    <col min="2061" max="2063" width="10.7109375" style="1" customWidth="1"/>
    <col min="2064" max="2064" width="2.7109375" style="1" customWidth="1"/>
    <col min="2065" max="2067" width="10.7109375" style="1" customWidth="1"/>
    <col min="2068" max="2304" width="11.42578125" style="1"/>
    <col min="2305" max="2305" width="11.42578125" style="1" customWidth="1"/>
    <col min="2306" max="2306" width="35.7109375" style="1" customWidth="1"/>
    <col min="2307" max="2310" width="10.7109375" style="1" customWidth="1"/>
    <col min="2311" max="2311" width="2.7109375" style="1" customWidth="1"/>
    <col min="2312" max="2315" width="10.7109375" style="1" customWidth="1"/>
    <col min="2316" max="2316" width="2.7109375" style="1" customWidth="1"/>
    <col min="2317" max="2319" width="10.7109375" style="1" customWidth="1"/>
    <col min="2320" max="2320" width="2.7109375" style="1" customWidth="1"/>
    <col min="2321" max="2323" width="10.7109375" style="1" customWidth="1"/>
    <col min="2324" max="2560" width="11.42578125" style="1"/>
    <col min="2561" max="2561" width="11.42578125" style="1" customWidth="1"/>
    <col min="2562" max="2562" width="35.7109375" style="1" customWidth="1"/>
    <col min="2563" max="2566" width="10.7109375" style="1" customWidth="1"/>
    <col min="2567" max="2567" width="2.7109375" style="1" customWidth="1"/>
    <col min="2568" max="2571" width="10.7109375" style="1" customWidth="1"/>
    <col min="2572" max="2572" width="2.7109375" style="1" customWidth="1"/>
    <col min="2573" max="2575" width="10.7109375" style="1" customWidth="1"/>
    <col min="2576" max="2576" width="2.7109375" style="1" customWidth="1"/>
    <col min="2577" max="2579" width="10.7109375" style="1" customWidth="1"/>
    <col min="2580" max="2816" width="11.42578125" style="1"/>
    <col min="2817" max="2817" width="11.42578125" style="1" customWidth="1"/>
    <col min="2818" max="2818" width="35.7109375" style="1" customWidth="1"/>
    <col min="2819" max="2822" width="10.7109375" style="1" customWidth="1"/>
    <col min="2823" max="2823" width="2.7109375" style="1" customWidth="1"/>
    <col min="2824" max="2827" width="10.7109375" style="1" customWidth="1"/>
    <col min="2828" max="2828" width="2.7109375" style="1" customWidth="1"/>
    <col min="2829" max="2831" width="10.7109375" style="1" customWidth="1"/>
    <col min="2832" max="2832" width="2.7109375" style="1" customWidth="1"/>
    <col min="2833" max="2835" width="10.7109375" style="1" customWidth="1"/>
    <col min="2836" max="3072" width="11.42578125" style="1"/>
    <col min="3073" max="3073" width="11.42578125" style="1" customWidth="1"/>
    <col min="3074" max="3074" width="35.7109375" style="1" customWidth="1"/>
    <col min="3075" max="3078" width="10.7109375" style="1" customWidth="1"/>
    <col min="3079" max="3079" width="2.7109375" style="1" customWidth="1"/>
    <col min="3080" max="3083" width="10.7109375" style="1" customWidth="1"/>
    <col min="3084" max="3084" width="2.7109375" style="1" customWidth="1"/>
    <col min="3085" max="3087" width="10.7109375" style="1" customWidth="1"/>
    <col min="3088" max="3088" width="2.7109375" style="1" customWidth="1"/>
    <col min="3089" max="3091" width="10.7109375" style="1" customWidth="1"/>
    <col min="3092" max="3328" width="11.42578125" style="1"/>
    <col min="3329" max="3329" width="11.42578125" style="1" customWidth="1"/>
    <col min="3330" max="3330" width="35.7109375" style="1" customWidth="1"/>
    <col min="3331" max="3334" width="10.7109375" style="1" customWidth="1"/>
    <col min="3335" max="3335" width="2.7109375" style="1" customWidth="1"/>
    <col min="3336" max="3339" width="10.7109375" style="1" customWidth="1"/>
    <col min="3340" max="3340" width="2.7109375" style="1" customWidth="1"/>
    <col min="3341" max="3343" width="10.7109375" style="1" customWidth="1"/>
    <col min="3344" max="3344" width="2.7109375" style="1" customWidth="1"/>
    <col min="3345" max="3347" width="10.7109375" style="1" customWidth="1"/>
    <col min="3348" max="3584" width="11.42578125" style="1"/>
    <col min="3585" max="3585" width="11.42578125" style="1" customWidth="1"/>
    <col min="3586" max="3586" width="35.7109375" style="1" customWidth="1"/>
    <col min="3587" max="3590" width="10.7109375" style="1" customWidth="1"/>
    <col min="3591" max="3591" width="2.7109375" style="1" customWidth="1"/>
    <col min="3592" max="3595" width="10.7109375" style="1" customWidth="1"/>
    <col min="3596" max="3596" width="2.7109375" style="1" customWidth="1"/>
    <col min="3597" max="3599" width="10.7109375" style="1" customWidth="1"/>
    <col min="3600" max="3600" width="2.7109375" style="1" customWidth="1"/>
    <col min="3601" max="3603" width="10.7109375" style="1" customWidth="1"/>
    <col min="3604" max="3840" width="11.42578125" style="1"/>
    <col min="3841" max="3841" width="11.42578125" style="1" customWidth="1"/>
    <col min="3842" max="3842" width="35.7109375" style="1" customWidth="1"/>
    <col min="3843" max="3846" width="10.7109375" style="1" customWidth="1"/>
    <col min="3847" max="3847" width="2.7109375" style="1" customWidth="1"/>
    <col min="3848" max="3851" width="10.7109375" style="1" customWidth="1"/>
    <col min="3852" max="3852" width="2.7109375" style="1" customWidth="1"/>
    <col min="3853" max="3855" width="10.7109375" style="1" customWidth="1"/>
    <col min="3856" max="3856" width="2.7109375" style="1" customWidth="1"/>
    <col min="3857" max="3859" width="10.7109375" style="1" customWidth="1"/>
    <col min="3860" max="4096" width="11.42578125" style="1"/>
    <col min="4097" max="4097" width="11.42578125" style="1" customWidth="1"/>
    <col min="4098" max="4098" width="35.7109375" style="1" customWidth="1"/>
    <col min="4099" max="4102" width="10.7109375" style="1" customWidth="1"/>
    <col min="4103" max="4103" width="2.7109375" style="1" customWidth="1"/>
    <col min="4104" max="4107" width="10.7109375" style="1" customWidth="1"/>
    <col min="4108" max="4108" width="2.7109375" style="1" customWidth="1"/>
    <col min="4109" max="4111" width="10.7109375" style="1" customWidth="1"/>
    <col min="4112" max="4112" width="2.7109375" style="1" customWidth="1"/>
    <col min="4113" max="4115" width="10.7109375" style="1" customWidth="1"/>
    <col min="4116" max="4352" width="11.42578125" style="1"/>
    <col min="4353" max="4353" width="11.42578125" style="1" customWidth="1"/>
    <col min="4354" max="4354" width="35.7109375" style="1" customWidth="1"/>
    <col min="4355" max="4358" width="10.7109375" style="1" customWidth="1"/>
    <col min="4359" max="4359" width="2.7109375" style="1" customWidth="1"/>
    <col min="4360" max="4363" width="10.7109375" style="1" customWidth="1"/>
    <col min="4364" max="4364" width="2.7109375" style="1" customWidth="1"/>
    <col min="4365" max="4367" width="10.7109375" style="1" customWidth="1"/>
    <col min="4368" max="4368" width="2.7109375" style="1" customWidth="1"/>
    <col min="4369" max="4371" width="10.7109375" style="1" customWidth="1"/>
    <col min="4372" max="4608" width="11.42578125" style="1"/>
    <col min="4609" max="4609" width="11.42578125" style="1" customWidth="1"/>
    <col min="4610" max="4610" width="35.7109375" style="1" customWidth="1"/>
    <col min="4611" max="4614" width="10.7109375" style="1" customWidth="1"/>
    <col min="4615" max="4615" width="2.7109375" style="1" customWidth="1"/>
    <col min="4616" max="4619" width="10.7109375" style="1" customWidth="1"/>
    <col min="4620" max="4620" width="2.7109375" style="1" customWidth="1"/>
    <col min="4621" max="4623" width="10.7109375" style="1" customWidth="1"/>
    <col min="4624" max="4624" width="2.7109375" style="1" customWidth="1"/>
    <col min="4625" max="4627" width="10.7109375" style="1" customWidth="1"/>
    <col min="4628" max="4864" width="11.42578125" style="1"/>
    <col min="4865" max="4865" width="11.42578125" style="1" customWidth="1"/>
    <col min="4866" max="4866" width="35.7109375" style="1" customWidth="1"/>
    <col min="4867" max="4870" width="10.7109375" style="1" customWidth="1"/>
    <col min="4871" max="4871" width="2.7109375" style="1" customWidth="1"/>
    <col min="4872" max="4875" width="10.7109375" style="1" customWidth="1"/>
    <col min="4876" max="4876" width="2.7109375" style="1" customWidth="1"/>
    <col min="4877" max="4879" width="10.7109375" style="1" customWidth="1"/>
    <col min="4880" max="4880" width="2.7109375" style="1" customWidth="1"/>
    <col min="4881" max="4883" width="10.7109375" style="1" customWidth="1"/>
    <col min="4884" max="5120" width="11.42578125" style="1"/>
    <col min="5121" max="5121" width="11.42578125" style="1" customWidth="1"/>
    <col min="5122" max="5122" width="35.7109375" style="1" customWidth="1"/>
    <col min="5123" max="5126" width="10.7109375" style="1" customWidth="1"/>
    <col min="5127" max="5127" width="2.7109375" style="1" customWidth="1"/>
    <col min="5128" max="5131" width="10.7109375" style="1" customWidth="1"/>
    <col min="5132" max="5132" width="2.7109375" style="1" customWidth="1"/>
    <col min="5133" max="5135" width="10.7109375" style="1" customWidth="1"/>
    <col min="5136" max="5136" width="2.7109375" style="1" customWidth="1"/>
    <col min="5137" max="5139" width="10.7109375" style="1" customWidth="1"/>
    <col min="5140" max="5376" width="11.42578125" style="1"/>
    <col min="5377" max="5377" width="11.42578125" style="1" customWidth="1"/>
    <col min="5378" max="5378" width="35.7109375" style="1" customWidth="1"/>
    <col min="5379" max="5382" width="10.7109375" style="1" customWidth="1"/>
    <col min="5383" max="5383" width="2.7109375" style="1" customWidth="1"/>
    <col min="5384" max="5387" width="10.7109375" style="1" customWidth="1"/>
    <col min="5388" max="5388" width="2.7109375" style="1" customWidth="1"/>
    <col min="5389" max="5391" width="10.7109375" style="1" customWidth="1"/>
    <col min="5392" max="5392" width="2.7109375" style="1" customWidth="1"/>
    <col min="5393" max="5395" width="10.7109375" style="1" customWidth="1"/>
    <col min="5396" max="5632" width="11.42578125" style="1"/>
    <col min="5633" max="5633" width="11.42578125" style="1" customWidth="1"/>
    <col min="5634" max="5634" width="35.7109375" style="1" customWidth="1"/>
    <col min="5635" max="5638" width="10.7109375" style="1" customWidth="1"/>
    <col min="5639" max="5639" width="2.7109375" style="1" customWidth="1"/>
    <col min="5640" max="5643" width="10.7109375" style="1" customWidth="1"/>
    <col min="5644" max="5644" width="2.7109375" style="1" customWidth="1"/>
    <col min="5645" max="5647" width="10.7109375" style="1" customWidth="1"/>
    <col min="5648" max="5648" width="2.7109375" style="1" customWidth="1"/>
    <col min="5649" max="5651" width="10.7109375" style="1" customWidth="1"/>
    <col min="5652" max="5888" width="11.42578125" style="1"/>
    <col min="5889" max="5889" width="11.42578125" style="1" customWidth="1"/>
    <col min="5890" max="5890" width="35.7109375" style="1" customWidth="1"/>
    <col min="5891" max="5894" width="10.7109375" style="1" customWidth="1"/>
    <col min="5895" max="5895" width="2.7109375" style="1" customWidth="1"/>
    <col min="5896" max="5899" width="10.7109375" style="1" customWidth="1"/>
    <col min="5900" max="5900" width="2.7109375" style="1" customWidth="1"/>
    <col min="5901" max="5903" width="10.7109375" style="1" customWidth="1"/>
    <col min="5904" max="5904" width="2.7109375" style="1" customWidth="1"/>
    <col min="5905" max="5907" width="10.7109375" style="1" customWidth="1"/>
    <col min="5908" max="6144" width="11.42578125" style="1"/>
    <col min="6145" max="6145" width="11.42578125" style="1" customWidth="1"/>
    <col min="6146" max="6146" width="35.7109375" style="1" customWidth="1"/>
    <col min="6147" max="6150" width="10.7109375" style="1" customWidth="1"/>
    <col min="6151" max="6151" width="2.7109375" style="1" customWidth="1"/>
    <col min="6152" max="6155" width="10.7109375" style="1" customWidth="1"/>
    <col min="6156" max="6156" width="2.7109375" style="1" customWidth="1"/>
    <col min="6157" max="6159" width="10.7109375" style="1" customWidth="1"/>
    <col min="6160" max="6160" width="2.7109375" style="1" customWidth="1"/>
    <col min="6161" max="6163" width="10.7109375" style="1" customWidth="1"/>
    <col min="6164" max="6400" width="11.42578125" style="1"/>
    <col min="6401" max="6401" width="11.42578125" style="1" customWidth="1"/>
    <col min="6402" max="6402" width="35.7109375" style="1" customWidth="1"/>
    <col min="6403" max="6406" width="10.7109375" style="1" customWidth="1"/>
    <col min="6407" max="6407" width="2.7109375" style="1" customWidth="1"/>
    <col min="6408" max="6411" width="10.7109375" style="1" customWidth="1"/>
    <col min="6412" max="6412" width="2.7109375" style="1" customWidth="1"/>
    <col min="6413" max="6415" width="10.7109375" style="1" customWidth="1"/>
    <col min="6416" max="6416" width="2.7109375" style="1" customWidth="1"/>
    <col min="6417" max="6419" width="10.7109375" style="1" customWidth="1"/>
    <col min="6420" max="6656" width="11.42578125" style="1"/>
    <col min="6657" max="6657" width="11.42578125" style="1" customWidth="1"/>
    <col min="6658" max="6658" width="35.7109375" style="1" customWidth="1"/>
    <col min="6659" max="6662" width="10.7109375" style="1" customWidth="1"/>
    <col min="6663" max="6663" width="2.7109375" style="1" customWidth="1"/>
    <col min="6664" max="6667" width="10.7109375" style="1" customWidth="1"/>
    <col min="6668" max="6668" width="2.7109375" style="1" customWidth="1"/>
    <col min="6669" max="6671" width="10.7109375" style="1" customWidth="1"/>
    <col min="6672" max="6672" width="2.7109375" style="1" customWidth="1"/>
    <col min="6673" max="6675" width="10.7109375" style="1" customWidth="1"/>
    <col min="6676" max="6912" width="11.42578125" style="1"/>
    <col min="6913" max="6913" width="11.42578125" style="1" customWidth="1"/>
    <col min="6914" max="6914" width="35.7109375" style="1" customWidth="1"/>
    <col min="6915" max="6918" width="10.7109375" style="1" customWidth="1"/>
    <col min="6919" max="6919" width="2.7109375" style="1" customWidth="1"/>
    <col min="6920" max="6923" width="10.7109375" style="1" customWidth="1"/>
    <col min="6924" max="6924" width="2.7109375" style="1" customWidth="1"/>
    <col min="6925" max="6927" width="10.7109375" style="1" customWidth="1"/>
    <col min="6928" max="6928" width="2.7109375" style="1" customWidth="1"/>
    <col min="6929" max="6931" width="10.7109375" style="1" customWidth="1"/>
    <col min="6932" max="7168" width="11.42578125" style="1"/>
    <col min="7169" max="7169" width="11.42578125" style="1" customWidth="1"/>
    <col min="7170" max="7170" width="35.7109375" style="1" customWidth="1"/>
    <col min="7171" max="7174" width="10.7109375" style="1" customWidth="1"/>
    <col min="7175" max="7175" width="2.7109375" style="1" customWidth="1"/>
    <col min="7176" max="7179" width="10.7109375" style="1" customWidth="1"/>
    <col min="7180" max="7180" width="2.7109375" style="1" customWidth="1"/>
    <col min="7181" max="7183" width="10.7109375" style="1" customWidth="1"/>
    <col min="7184" max="7184" width="2.7109375" style="1" customWidth="1"/>
    <col min="7185" max="7187" width="10.7109375" style="1" customWidth="1"/>
    <col min="7188" max="7424" width="11.42578125" style="1"/>
    <col min="7425" max="7425" width="11.42578125" style="1" customWidth="1"/>
    <col min="7426" max="7426" width="35.7109375" style="1" customWidth="1"/>
    <col min="7427" max="7430" width="10.7109375" style="1" customWidth="1"/>
    <col min="7431" max="7431" width="2.7109375" style="1" customWidth="1"/>
    <col min="7432" max="7435" width="10.7109375" style="1" customWidth="1"/>
    <col min="7436" max="7436" width="2.7109375" style="1" customWidth="1"/>
    <col min="7437" max="7439" width="10.7109375" style="1" customWidth="1"/>
    <col min="7440" max="7440" width="2.7109375" style="1" customWidth="1"/>
    <col min="7441" max="7443" width="10.7109375" style="1" customWidth="1"/>
    <col min="7444" max="7680" width="11.42578125" style="1"/>
    <col min="7681" max="7681" width="11.42578125" style="1" customWidth="1"/>
    <col min="7682" max="7682" width="35.7109375" style="1" customWidth="1"/>
    <col min="7683" max="7686" width="10.7109375" style="1" customWidth="1"/>
    <col min="7687" max="7687" width="2.7109375" style="1" customWidth="1"/>
    <col min="7688" max="7691" width="10.7109375" style="1" customWidth="1"/>
    <col min="7692" max="7692" width="2.7109375" style="1" customWidth="1"/>
    <col min="7693" max="7695" width="10.7109375" style="1" customWidth="1"/>
    <col min="7696" max="7696" width="2.7109375" style="1" customWidth="1"/>
    <col min="7697" max="7699" width="10.7109375" style="1" customWidth="1"/>
    <col min="7700" max="7936" width="11.42578125" style="1"/>
    <col min="7937" max="7937" width="11.42578125" style="1" customWidth="1"/>
    <col min="7938" max="7938" width="35.7109375" style="1" customWidth="1"/>
    <col min="7939" max="7942" width="10.7109375" style="1" customWidth="1"/>
    <col min="7943" max="7943" width="2.7109375" style="1" customWidth="1"/>
    <col min="7944" max="7947" width="10.7109375" style="1" customWidth="1"/>
    <col min="7948" max="7948" width="2.7109375" style="1" customWidth="1"/>
    <col min="7949" max="7951" width="10.7109375" style="1" customWidth="1"/>
    <col min="7952" max="7952" width="2.7109375" style="1" customWidth="1"/>
    <col min="7953" max="7955" width="10.7109375" style="1" customWidth="1"/>
    <col min="7956" max="8192" width="11.42578125" style="1"/>
    <col min="8193" max="8193" width="11.42578125" style="1" customWidth="1"/>
    <col min="8194" max="8194" width="35.7109375" style="1" customWidth="1"/>
    <col min="8195" max="8198" width="10.7109375" style="1" customWidth="1"/>
    <col min="8199" max="8199" width="2.7109375" style="1" customWidth="1"/>
    <col min="8200" max="8203" width="10.7109375" style="1" customWidth="1"/>
    <col min="8204" max="8204" width="2.7109375" style="1" customWidth="1"/>
    <col min="8205" max="8207" width="10.7109375" style="1" customWidth="1"/>
    <col min="8208" max="8208" width="2.7109375" style="1" customWidth="1"/>
    <col min="8209" max="8211" width="10.7109375" style="1" customWidth="1"/>
    <col min="8212" max="8448" width="11.42578125" style="1"/>
    <col min="8449" max="8449" width="11.42578125" style="1" customWidth="1"/>
    <col min="8450" max="8450" width="35.7109375" style="1" customWidth="1"/>
    <col min="8451" max="8454" width="10.7109375" style="1" customWidth="1"/>
    <col min="8455" max="8455" width="2.7109375" style="1" customWidth="1"/>
    <col min="8456" max="8459" width="10.7109375" style="1" customWidth="1"/>
    <col min="8460" max="8460" width="2.7109375" style="1" customWidth="1"/>
    <col min="8461" max="8463" width="10.7109375" style="1" customWidth="1"/>
    <col min="8464" max="8464" width="2.7109375" style="1" customWidth="1"/>
    <col min="8465" max="8467" width="10.7109375" style="1" customWidth="1"/>
    <col min="8468" max="8704" width="11.42578125" style="1"/>
    <col min="8705" max="8705" width="11.42578125" style="1" customWidth="1"/>
    <col min="8706" max="8706" width="35.7109375" style="1" customWidth="1"/>
    <col min="8707" max="8710" width="10.7109375" style="1" customWidth="1"/>
    <col min="8711" max="8711" width="2.7109375" style="1" customWidth="1"/>
    <col min="8712" max="8715" width="10.7109375" style="1" customWidth="1"/>
    <col min="8716" max="8716" width="2.7109375" style="1" customWidth="1"/>
    <col min="8717" max="8719" width="10.7109375" style="1" customWidth="1"/>
    <col min="8720" max="8720" width="2.7109375" style="1" customWidth="1"/>
    <col min="8721" max="8723" width="10.7109375" style="1" customWidth="1"/>
    <col min="8724" max="8960" width="11.42578125" style="1"/>
    <col min="8961" max="8961" width="11.42578125" style="1" customWidth="1"/>
    <col min="8962" max="8962" width="35.7109375" style="1" customWidth="1"/>
    <col min="8963" max="8966" width="10.7109375" style="1" customWidth="1"/>
    <col min="8967" max="8967" width="2.7109375" style="1" customWidth="1"/>
    <col min="8968" max="8971" width="10.7109375" style="1" customWidth="1"/>
    <col min="8972" max="8972" width="2.7109375" style="1" customWidth="1"/>
    <col min="8973" max="8975" width="10.7109375" style="1" customWidth="1"/>
    <col min="8976" max="8976" width="2.7109375" style="1" customWidth="1"/>
    <col min="8977" max="8979" width="10.7109375" style="1" customWidth="1"/>
    <col min="8980" max="9216" width="11.42578125" style="1"/>
    <col min="9217" max="9217" width="11.42578125" style="1" customWidth="1"/>
    <col min="9218" max="9218" width="35.7109375" style="1" customWidth="1"/>
    <col min="9219" max="9222" width="10.7109375" style="1" customWidth="1"/>
    <col min="9223" max="9223" width="2.7109375" style="1" customWidth="1"/>
    <col min="9224" max="9227" width="10.7109375" style="1" customWidth="1"/>
    <col min="9228" max="9228" width="2.7109375" style="1" customWidth="1"/>
    <col min="9229" max="9231" width="10.7109375" style="1" customWidth="1"/>
    <col min="9232" max="9232" width="2.7109375" style="1" customWidth="1"/>
    <col min="9233" max="9235" width="10.7109375" style="1" customWidth="1"/>
    <col min="9236" max="9472" width="11.42578125" style="1"/>
    <col min="9473" max="9473" width="11.42578125" style="1" customWidth="1"/>
    <col min="9474" max="9474" width="35.7109375" style="1" customWidth="1"/>
    <col min="9475" max="9478" width="10.7109375" style="1" customWidth="1"/>
    <col min="9479" max="9479" width="2.7109375" style="1" customWidth="1"/>
    <col min="9480" max="9483" width="10.7109375" style="1" customWidth="1"/>
    <col min="9484" max="9484" width="2.7109375" style="1" customWidth="1"/>
    <col min="9485" max="9487" width="10.7109375" style="1" customWidth="1"/>
    <col min="9488" max="9488" width="2.7109375" style="1" customWidth="1"/>
    <col min="9489" max="9491" width="10.7109375" style="1" customWidth="1"/>
    <col min="9492" max="9728" width="11.42578125" style="1"/>
    <col min="9729" max="9729" width="11.42578125" style="1" customWidth="1"/>
    <col min="9730" max="9730" width="35.7109375" style="1" customWidth="1"/>
    <col min="9731" max="9734" width="10.7109375" style="1" customWidth="1"/>
    <col min="9735" max="9735" width="2.7109375" style="1" customWidth="1"/>
    <col min="9736" max="9739" width="10.7109375" style="1" customWidth="1"/>
    <col min="9740" max="9740" width="2.7109375" style="1" customWidth="1"/>
    <col min="9741" max="9743" width="10.7109375" style="1" customWidth="1"/>
    <col min="9744" max="9744" width="2.7109375" style="1" customWidth="1"/>
    <col min="9745" max="9747" width="10.7109375" style="1" customWidth="1"/>
    <col min="9748" max="9984" width="11.42578125" style="1"/>
    <col min="9985" max="9985" width="11.42578125" style="1" customWidth="1"/>
    <col min="9986" max="9986" width="35.7109375" style="1" customWidth="1"/>
    <col min="9987" max="9990" width="10.7109375" style="1" customWidth="1"/>
    <col min="9991" max="9991" width="2.7109375" style="1" customWidth="1"/>
    <col min="9992" max="9995" width="10.7109375" style="1" customWidth="1"/>
    <col min="9996" max="9996" width="2.7109375" style="1" customWidth="1"/>
    <col min="9997" max="9999" width="10.7109375" style="1" customWidth="1"/>
    <col min="10000" max="10000" width="2.7109375" style="1" customWidth="1"/>
    <col min="10001" max="10003" width="10.7109375" style="1" customWidth="1"/>
    <col min="10004" max="10240" width="11.42578125" style="1"/>
    <col min="10241" max="10241" width="11.42578125" style="1" customWidth="1"/>
    <col min="10242" max="10242" width="35.7109375" style="1" customWidth="1"/>
    <col min="10243" max="10246" width="10.7109375" style="1" customWidth="1"/>
    <col min="10247" max="10247" width="2.7109375" style="1" customWidth="1"/>
    <col min="10248" max="10251" width="10.7109375" style="1" customWidth="1"/>
    <col min="10252" max="10252" width="2.7109375" style="1" customWidth="1"/>
    <col min="10253" max="10255" width="10.7109375" style="1" customWidth="1"/>
    <col min="10256" max="10256" width="2.7109375" style="1" customWidth="1"/>
    <col min="10257" max="10259" width="10.7109375" style="1" customWidth="1"/>
    <col min="10260" max="10496" width="11.42578125" style="1"/>
    <col min="10497" max="10497" width="11.42578125" style="1" customWidth="1"/>
    <col min="10498" max="10498" width="35.7109375" style="1" customWidth="1"/>
    <col min="10499" max="10502" width="10.7109375" style="1" customWidth="1"/>
    <col min="10503" max="10503" width="2.7109375" style="1" customWidth="1"/>
    <col min="10504" max="10507" width="10.7109375" style="1" customWidth="1"/>
    <col min="10508" max="10508" width="2.7109375" style="1" customWidth="1"/>
    <col min="10509" max="10511" width="10.7109375" style="1" customWidth="1"/>
    <col min="10512" max="10512" width="2.7109375" style="1" customWidth="1"/>
    <col min="10513" max="10515" width="10.7109375" style="1" customWidth="1"/>
    <col min="10516" max="10752" width="11.42578125" style="1"/>
    <col min="10753" max="10753" width="11.42578125" style="1" customWidth="1"/>
    <col min="10754" max="10754" width="35.7109375" style="1" customWidth="1"/>
    <col min="10755" max="10758" width="10.7109375" style="1" customWidth="1"/>
    <col min="10759" max="10759" width="2.7109375" style="1" customWidth="1"/>
    <col min="10760" max="10763" width="10.7109375" style="1" customWidth="1"/>
    <col min="10764" max="10764" width="2.7109375" style="1" customWidth="1"/>
    <col min="10765" max="10767" width="10.7109375" style="1" customWidth="1"/>
    <col min="10768" max="10768" width="2.7109375" style="1" customWidth="1"/>
    <col min="10769" max="10771" width="10.7109375" style="1" customWidth="1"/>
    <col min="10772" max="11008" width="11.42578125" style="1"/>
    <col min="11009" max="11009" width="11.42578125" style="1" customWidth="1"/>
    <col min="11010" max="11010" width="35.7109375" style="1" customWidth="1"/>
    <col min="11011" max="11014" width="10.7109375" style="1" customWidth="1"/>
    <col min="11015" max="11015" width="2.7109375" style="1" customWidth="1"/>
    <col min="11016" max="11019" width="10.7109375" style="1" customWidth="1"/>
    <col min="11020" max="11020" width="2.7109375" style="1" customWidth="1"/>
    <col min="11021" max="11023" width="10.7109375" style="1" customWidth="1"/>
    <col min="11024" max="11024" width="2.7109375" style="1" customWidth="1"/>
    <col min="11025" max="11027" width="10.7109375" style="1" customWidth="1"/>
    <col min="11028" max="11264" width="11.42578125" style="1"/>
    <col min="11265" max="11265" width="11.42578125" style="1" customWidth="1"/>
    <col min="11266" max="11266" width="35.7109375" style="1" customWidth="1"/>
    <col min="11267" max="11270" width="10.7109375" style="1" customWidth="1"/>
    <col min="11271" max="11271" width="2.7109375" style="1" customWidth="1"/>
    <col min="11272" max="11275" width="10.7109375" style="1" customWidth="1"/>
    <col min="11276" max="11276" width="2.7109375" style="1" customWidth="1"/>
    <col min="11277" max="11279" width="10.7109375" style="1" customWidth="1"/>
    <col min="11280" max="11280" width="2.7109375" style="1" customWidth="1"/>
    <col min="11281" max="11283" width="10.7109375" style="1" customWidth="1"/>
    <col min="11284" max="11520" width="11.42578125" style="1"/>
    <col min="11521" max="11521" width="11.42578125" style="1" customWidth="1"/>
    <col min="11522" max="11522" width="35.7109375" style="1" customWidth="1"/>
    <col min="11523" max="11526" width="10.7109375" style="1" customWidth="1"/>
    <col min="11527" max="11527" width="2.7109375" style="1" customWidth="1"/>
    <col min="11528" max="11531" width="10.7109375" style="1" customWidth="1"/>
    <col min="11532" max="11532" width="2.7109375" style="1" customWidth="1"/>
    <col min="11533" max="11535" width="10.7109375" style="1" customWidth="1"/>
    <col min="11536" max="11536" width="2.7109375" style="1" customWidth="1"/>
    <col min="11537" max="11539" width="10.7109375" style="1" customWidth="1"/>
    <col min="11540" max="11776" width="11.42578125" style="1"/>
    <col min="11777" max="11777" width="11.42578125" style="1" customWidth="1"/>
    <col min="11778" max="11778" width="35.7109375" style="1" customWidth="1"/>
    <col min="11779" max="11782" width="10.7109375" style="1" customWidth="1"/>
    <col min="11783" max="11783" width="2.7109375" style="1" customWidth="1"/>
    <col min="11784" max="11787" width="10.7109375" style="1" customWidth="1"/>
    <col min="11788" max="11788" width="2.7109375" style="1" customWidth="1"/>
    <col min="11789" max="11791" width="10.7109375" style="1" customWidth="1"/>
    <col min="11792" max="11792" width="2.7109375" style="1" customWidth="1"/>
    <col min="11793" max="11795" width="10.7109375" style="1" customWidth="1"/>
    <col min="11796" max="12032" width="11.42578125" style="1"/>
    <col min="12033" max="12033" width="11.42578125" style="1" customWidth="1"/>
    <col min="12034" max="12034" width="35.7109375" style="1" customWidth="1"/>
    <col min="12035" max="12038" width="10.7109375" style="1" customWidth="1"/>
    <col min="12039" max="12039" width="2.7109375" style="1" customWidth="1"/>
    <col min="12040" max="12043" width="10.7109375" style="1" customWidth="1"/>
    <col min="12044" max="12044" width="2.7109375" style="1" customWidth="1"/>
    <col min="12045" max="12047" width="10.7109375" style="1" customWidth="1"/>
    <col min="12048" max="12048" width="2.7109375" style="1" customWidth="1"/>
    <col min="12049" max="12051" width="10.7109375" style="1" customWidth="1"/>
    <col min="12052" max="12288" width="11.42578125" style="1"/>
    <col min="12289" max="12289" width="11.42578125" style="1" customWidth="1"/>
    <col min="12290" max="12290" width="35.7109375" style="1" customWidth="1"/>
    <col min="12291" max="12294" width="10.7109375" style="1" customWidth="1"/>
    <col min="12295" max="12295" width="2.7109375" style="1" customWidth="1"/>
    <col min="12296" max="12299" width="10.7109375" style="1" customWidth="1"/>
    <col min="12300" max="12300" width="2.7109375" style="1" customWidth="1"/>
    <col min="12301" max="12303" width="10.7109375" style="1" customWidth="1"/>
    <col min="12304" max="12304" width="2.7109375" style="1" customWidth="1"/>
    <col min="12305" max="12307" width="10.7109375" style="1" customWidth="1"/>
    <col min="12308" max="12544" width="11.42578125" style="1"/>
    <col min="12545" max="12545" width="11.42578125" style="1" customWidth="1"/>
    <col min="12546" max="12546" width="35.7109375" style="1" customWidth="1"/>
    <col min="12547" max="12550" width="10.7109375" style="1" customWidth="1"/>
    <col min="12551" max="12551" width="2.7109375" style="1" customWidth="1"/>
    <col min="12552" max="12555" width="10.7109375" style="1" customWidth="1"/>
    <col min="12556" max="12556" width="2.7109375" style="1" customWidth="1"/>
    <col min="12557" max="12559" width="10.7109375" style="1" customWidth="1"/>
    <col min="12560" max="12560" width="2.7109375" style="1" customWidth="1"/>
    <col min="12561" max="12563" width="10.7109375" style="1" customWidth="1"/>
    <col min="12564" max="12800" width="11.42578125" style="1"/>
    <col min="12801" max="12801" width="11.42578125" style="1" customWidth="1"/>
    <col min="12802" max="12802" width="35.7109375" style="1" customWidth="1"/>
    <col min="12803" max="12806" width="10.7109375" style="1" customWidth="1"/>
    <col min="12807" max="12807" width="2.7109375" style="1" customWidth="1"/>
    <col min="12808" max="12811" width="10.7109375" style="1" customWidth="1"/>
    <col min="12812" max="12812" width="2.7109375" style="1" customWidth="1"/>
    <col min="12813" max="12815" width="10.7109375" style="1" customWidth="1"/>
    <col min="12816" max="12816" width="2.7109375" style="1" customWidth="1"/>
    <col min="12817" max="12819" width="10.7109375" style="1" customWidth="1"/>
    <col min="12820" max="13056" width="11.42578125" style="1"/>
    <col min="13057" max="13057" width="11.42578125" style="1" customWidth="1"/>
    <col min="13058" max="13058" width="35.7109375" style="1" customWidth="1"/>
    <col min="13059" max="13062" width="10.7109375" style="1" customWidth="1"/>
    <col min="13063" max="13063" width="2.7109375" style="1" customWidth="1"/>
    <col min="13064" max="13067" width="10.7109375" style="1" customWidth="1"/>
    <col min="13068" max="13068" width="2.7109375" style="1" customWidth="1"/>
    <col min="13069" max="13071" width="10.7109375" style="1" customWidth="1"/>
    <col min="13072" max="13072" width="2.7109375" style="1" customWidth="1"/>
    <col min="13073" max="13075" width="10.7109375" style="1" customWidth="1"/>
    <col min="13076" max="13312" width="11.42578125" style="1"/>
    <col min="13313" max="13313" width="11.42578125" style="1" customWidth="1"/>
    <col min="13314" max="13314" width="35.7109375" style="1" customWidth="1"/>
    <col min="13315" max="13318" width="10.7109375" style="1" customWidth="1"/>
    <col min="13319" max="13319" width="2.7109375" style="1" customWidth="1"/>
    <col min="13320" max="13323" width="10.7109375" style="1" customWidth="1"/>
    <col min="13324" max="13324" width="2.7109375" style="1" customWidth="1"/>
    <col min="13325" max="13327" width="10.7109375" style="1" customWidth="1"/>
    <col min="13328" max="13328" width="2.7109375" style="1" customWidth="1"/>
    <col min="13329" max="13331" width="10.7109375" style="1" customWidth="1"/>
    <col min="13332" max="13568" width="11.42578125" style="1"/>
    <col min="13569" max="13569" width="11.42578125" style="1" customWidth="1"/>
    <col min="13570" max="13570" width="35.7109375" style="1" customWidth="1"/>
    <col min="13571" max="13574" width="10.7109375" style="1" customWidth="1"/>
    <col min="13575" max="13575" width="2.7109375" style="1" customWidth="1"/>
    <col min="13576" max="13579" width="10.7109375" style="1" customWidth="1"/>
    <col min="13580" max="13580" width="2.7109375" style="1" customWidth="1"/>
    <col min="13581" max="13583" width="10.7109375" style="1" customWidth="1"/>
    <col min="13584" max="13584" width="2.7109375" style="1" customWidth="1"/>
    <col min="13585" max="13587" width="10.7109375" style="1" customWidth="1"/>
    <col min="13588" max="13824" width="11.42578125" style="1"/>
    <col min="13825" max="13825" width="11.42578125" style="1" customWidth="1"/>
    <col min="13826" max="13826" width="35.7109375" style="1" customWidth="1"/>
    <col min="13827" max="13830" width="10.7109375" style="1" customWidth="1"/>
    <col min="13831" max="13831" width="2.7109375" style="1" customWidth="1"/>
    <col min="13832" max="13835" width="10.7109375" style="1" customWidth="1"/>
    <col min="13836" max="13836" width="2.7109375" style="1" customWidth="1"/>
    <col min="13837" max="13839" width="10.7109375" style="1" customWidth="1"/>
    <col min="13840" max="13840" width="2.7109375" style="1" customWidth="1"/>
    <col min="13841" max="13843" width="10.7109375" style="1" customWidth="1"/>
    <col min="13844" max="14080" width="11.42578125" style="1"/>
    <col min="14081" max="14081" width="11.42578125" style="1" customWidth="1"/>
    <col min="14082" max="14082" width="35.7109375" style="1" customWidth="1"/>
    <col min="14083" max="14086" width="10.7109375" style="1" customWidth="1"/>
    <col min="14087" max="14087" width="2.7109375" style="1" customWidth="1"/>
    <col min="14088" max="14091" width="10.7109375" style="1" customWidth="1"/>
    <col min="14092" max="14092" width="2.7109375" style="1" customWidth="1"/>
    <col min="14093" max="14095" width="10.7109375" style="1" customWidth="1"/>
    <col min="14096" max="14096" width="2.7109375" style="1" customWidth="1"/>
    <col min="14097" max="14099" width="10.7109375" style="1" customWidth="1"/>
    <col min="14100" max="14336" width="11.42578125" style="1"/>
    <col min="14337" max="14337" width="11.42578125" style="1" customWidth="1"/>
    <col min="14338" max="14338" width="35.7109375" style="1" customWidth="1"/>
    <col min="14339" max="14342" width="10.7109375" style="1" customWidth="1"/>
    <col min="14343" max="14343" width="2.7109375" style="1" customWidth="1"/>
    <col min="14344" max="14347" width="10.7109375" style="1" customWidth="1"/>
    <col min="14348" max="14348" width="2.7109375" style="1" customWidth="1"/>
    <col min="14349" max="14351" width="10.7109375" style="1" customWidth="1"/>
    <col min="14352" max="14352" width="2.7109375" style="1" customWidth="1"/>
    <col min="14353" max="14355" width="10.7109375" style="1" customWidth="1"/>
    <col min="14356" max="14592" width="11.42578125" style="1"/>
    <col min="14593" max="14593" width="11.42578125" style="1" customWidth="1"/>
    <col min="14594" max="14594" width="35.7109375" style="1" customWidth="1"/>
    <col min="14595" max="14598" width="10.7109375" style="1" customWidth="1"/>
    <col min="14599" max="14599" width="2.7109375" style="1" customWidth="1"/>
    <col min="14600" max="14603" width="10.7109375" style="1" customWidth="1"/>
    <col min="14604" max="14604" width="2.7109375" style="1" customWidth="1"/>
    <col min="14605" max="14607" width="10.7109375" style="1" customWidth="1"/>
    <col min="14608" max="14608" width="2.7109375" style="1" customWidth="1"/>
    <col min="14609" max="14611" width="10.7109375" style="1" customWidth="1"/>
    <col min="14612" max="14848" width="11.42578125" style="1"/>
    <col min="14849" max="14849" width="11.42578125" style="1" customWidth="1"/>
    <col min="14850" max="14850" width="35.7109375" style="1" customWidth="1"/>
    <col min="14851" max="14854" width="10.7109375" style="1" customWidth="1"/>
    <col min="14855" max="14855" width="2.7109375" style="1" customWidth="1"/>
    <col min="14856" max="14859" width="10.7109375" style="1" customWidth="1"/>
    <col min="14860" max="14860" width="2.7109375" style="1" customWidth="1"/>
    <col min="14861" max="14863" width="10.7109375" style="1" customWidth="1"/>
    <col min="14864" max="14864" width="2.7109375" style="1" customWidth="1"/>
    <col min="14865" max="14867" width="10.7109375" style="1" customWidth="1"/>
    <col min="14868" max="15104" width="11.42578125" style="1"/>
    <col min="15105" max="15105" width="11.42578125" style="1" customWidth="1"/>
    <col min="15106" max="15106" width="35.7109375" style="1" customWidth="1"/>
    <col min="15107" max="15110" width="10.7109375" style="1" customWidth="1"/>
    <col min="15111" max="15111" width="2.7109375" style="1" customWidth="1"/>
    <col min="15112" max="15115" width="10.7109375" style="1" customWidth="1"/>
    <col min="15116" max="15116" width="2.7109375" style="1" customWidth="1"/>
    <col min="15117" max="15119" width="10.7109375" style="1" customWidth="1"/>
    <col min="15120" max="15120" width="2.7109375" style="1" customWidth="1"/>
    <col min="15121" max="15123" width="10.7109375" style="1" customWidth="1"/>
    <col min="15124" max="15360" width="11.42578125" style="1"/>
    <col min="15361" max="15361" width="11.42578125" style="1" customWidth="1"/>
    <col min="15362" max="15362" width="35.7109375" style="1" customWidth="1"/>
    <col min="15363" max="15366" width="10.7109375" style="1" customWidth="1"/>
    <col min="15367" max="15367" width="2.7109375" style="1" customWidth="1"/>
    <col min="15368" max="15371" width="10.7109375" style="1" customWidth="1"/>
    <col min="15372" max="15372" width="2.7109375" style="1" customWidth="1"/>
    <col min="15373" max="15375" width="10.7109375" style="1" customWidth="1"/>
    <col min="15376" max="15376" width="2.7109375" style="1" customWidth="1"/>
    <col min="15377" max="15379" width="10.7109375" style="1" customWidth="1"/>
    <col min="15380" max="15616" width="11.42578125" style="1"/>
    <col min="15617" max="15617" width="11.42578125" style="1" customWidth="1"/>
    <col min="15618" max="15618" width="35.7109375" style="1" customWidth="1"/>
    <col min="15619" max="15622" width="10.7109375" style="1" customWidth="1"/>
    <col min="15623" max="15623" width="2.7109375" style="1" customWidth="1"/>
    <col min="15624" max="15627" width="10.7109375" style="1" customWidth="1"/>
    <col min="15628" max="15628" width="2.7109375" style="1" customWidth="1"/>
    <col min="15629" max="15631" width="10.7109375" style="1" customWidth="1"/>
    <col min="15632" max="15632" width="2.7109375" style="1" customWidth="1"/>
    <col min="15633" max="15635" width="10.7109375" style="1" customWidth="1"/>
    <col min="15636" max="15872" width="11.42578125" style="1"/>
    <col min="15873" max="15873" width="11.42578125" style="1" customWidth="1"/>
    <col min="15874" max="15874" width="35.7109375" style="1" customWidth="1"/>
    <col min="15875" max="15878" width="10.7109375" style="1" customWidth="1"/>
    <col min="15879" max="15879" width="2.7109375" style="1" customWidth="1"/>
    <col min="15880" max="15883" width="10.7109375" style="1" customWidth="1"/>
    <col min="15884" max="15884" width="2.7109375" style="1" customWidth="1"/>
    <col min="15885" max="15887" width="10.7109375" style="1" customWidth="1"/>
    <col min="15888" max="15888" width="2.7109375" style="1" customWidth="1"/>
    <col min="15889" max="15891" width="10.7109375" style="1" customWidth="1"/>
    <col min="15892" max="16128" width="11.42578125" style="1"/>
    <col min="16129" max="16129" width="11.42578125" style="1" customWidth="1"/>
    <col min="16130" max="16130" width="35.7109375" style="1" customWidth="1"/>
    <col min="16131" max="16134" width="10.7109375" style="1" customWidth="1"/>
    <col min="16135" max="16135" width="2.7109375" style="1" customWidth="1"/>
    <col min="16136" max="16139" width="10.7109375" style="1" customWidth="1"/>
    <col min="16140" max="16140" width="2.7109375" style="1" customWidth="1"/>
    <col min="16141" max="16143" width="10.7109375" style="1" customWidth="1"/>
    <col min="16144" max="16144" width="2.7109375" style="1" customWidth="1"/>
    <col min="16145" max="16147" width="10.7109375" style="1" customWidth="1"/>
    <col min="16148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112</v>
      </c>
      <c r="F6" s="9">
        <f>SUM(C6:E6)</f>
        <v>112</v>
      </c>
      <c r="H6" s="10">
        <v>0</v>
      </c>
      <c r="I6" s="10">
        <v>0</v>
      </c>
      <c r="J6" s="10">
        <v>125.73</v>
      </c>
      <c r="K6" s="10">
        <v>125.73</v>
      </c>
      <c r="M6" s="10">
        <v>0</v>
      </c>
      <c r="N6" s="10">
        <v>204.56726999999998</v>
      </c>
      <c r="O6" s="10">
        <v>204.56726999999998</v>
      </c>
      <c r="Q6" s="21">
        <v>0</v>
      </c>
      <c r="R6" s="21">
        <v>1808.34</v>
      </c>
      <c r="S6" s="21">
        <v>1808.34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36</v>
      </c>
      <c r="F7" s="9">
        <f t="shared" ref="F7:F71" si="0">SUM(C7:E7)</f>
        <v>36</v>
      </c>
      <c r="H7" s="10">
        <v>0</v>
      </c>
      <c r="I7" s="10">
        <v>0</v>
      </c>
      <c r="J7" s="10">
        <v>100.69</v>
      </c>
      <c r="K7" s="10">
        <v>100.69</v>
      </c>
      <c r="M7" s="10">
        <v>0</v>
      </c>
      <c r="N7" s="10">
        <v>79.973389999999995</v>
      </c>
      <c r="O7" s="10">
        <v>79.973389999999995</v>
      </c>
      <c r="Q7" s="21">
        <v>0</v>
      </c>
      <c r="R7" s="21">
        <v>837.64</v>
      </c>
      <c r="S7" s="21">
        <v>837.64</v>
      </c>
    </row>
    <row r="8" spans="1:19" x14ac:dyDescent="0.2">
      <c r="A8" s="9" t="s">
        <v>18</v>
      </c>
      <c r="B8" s="9" t="s">
        <v>19</v>
      </c>
      <c r="C8" s="9">
        <v>9</v>
      </c>
      <c r="D8" s="9">
        <v>0</v>
      </c>
      <c r="E8" s="9">
        <v>141</v>
      </c>
      <c r="F8" s="9">
        <f t="shared" si="0"/>
        <v>150</v>
      </c>
      <c r="H8" s="10">
        <v>107.5</v>
      </c>
      <c r="I8" s="10">
        <v>0</v>
      </c>
      <c r="J8" s="10">
        <v>97.59</v>
      </c>
      <c r="K8" s="10">
        <v>98.08</v>
      </c>
      <c r="M8" s="10">
        <v>77.8</v>
      </c>
      <c r="N8" s="10">
        <v>83.563059999999993</v>
      </c>
      <c r="O8" s="10">
        <v>83.277289999999994</v>
      </c>
      <c r="Q8" s="21">
        <v>803.44</v>
      </c>
      <c r="R8" s="21">
        <v>969.88</v>
      </c>
      <c r="S8" s="21">
        <v>961.63</v>
      </c>
    </row>
    <row r="9" spans="1:19" x14ac:dyDescent="0.2">
      <c r="A9" s="9" t="s">
        <v>20</v>
      </c>
      <c r="B9" s="9" t="s">
        <v>21</v>
      </c>
      <c r="C9" s="9">
        <v>22</v>
      </c>
      <c r="D9" s="9">
        <v>0</v>
      </c>
      <c r="E9" s="9">
        <v>75</v>
      </c>
      <c r="F9" s="9">
        <f t="shared" si="0"/>
        <v>97</v>
      </c>
      <c r="H9" s="10">
        <v>69.28</v>
      </c>
      <c r="I9" s="10">
        <v>0</v>
      </c>
      <c r="J9" s="10">
        <v>80.83</v>
      </c>
      <c r="K9" s="10">
        <v>78.33</v>
      </c>
      <c r="M9" s="10">
        <v>34.529609999999998</v>
      </c>
      <c r="N9" s="10">
        <v>55.750519999999995</v>
      </c>
      <c r="O9" s="10">
        <v>51.351059999999997</v>
      </c>
      <c r="Q9" s="21">
        <v>521.83000000000004</v>
      </c>
      <c r="R9" s="21">
        <v>680.75</v>
      </c>
      <c r="S9" s="21">
        <v>647.79999999999995</v>
      </c>
    </row>
    <row r="10" spans="1:19" x14ac:dyDescent="0.2">
      <c r="A10" s="9" t="s">
        <v>22</v>
      </c>
      <c r="B10" s="9" t="s">
        <v>23</v>
      </c>
      <c r="C10" s="9">
        <v>2</v>
      </c>
      <c r="D10" s="9">
        <v>0</v>
      </c>
      <c r="E10" s="9">
        <v>20</v>
      </c>
      <c r="F10" s="9">
        <f t="shared" si="0"/>
        <v>22</v>
      </c>
      <c r="H10" s="10">
        <v>70</v>
      </c>
      <c r="I10" s="10">
        <v>0</v>
      </c>
      <c r="J10" s="10">
        <v>98.72</v>
      </c>
      <c r="K10" s="10">
        <v>97.21</v>
      </c>
      <c r="M10" s="10">
        <v>0</v>
      </c>
      <c r="N10" s="10">
        <v>95.272100000000009</v>
      </c>
      <c r="O10" s="10">
        <v>97.15252000000001</v>
      </c>
      <c r="Q10" s="21">
        <v>0</v>
      </c>
      <c r="R10" s="21">
        <v>1019.47</v>
      </c>
      <c r="S10" s="21">
        <v>1064.31</v>
      </c>
    </row>
    <row r="11" spans="1:19" x14ac:dyDescent="0.2">
      <c r="A11" s="9" t="s">
        <v>24</v>
      </c>
      <c r="B11" s="9" t="s">
        <v>25</v>
      </c>
      <c r="C11" s="9">
        <v>12</v>
      </c>
      <c r="D11" s="9">
        <v>0</v>
      </c>
      <c r="E11" s="9">
        <v>78</v>
      </c>
      <c r="F11" s="9">
        <f t="shared" si="0"/>
        <v>90</v>
      </c>
      <c r="H11" s="10">
        <v>170</v>
      </c>
      <c r="I11" s="10">
        <v>0</v>
      </c>
      <c r="J11" s="10">
        <v>189.01</v>
      </c>
      <c r="K11" s="10">
        <v>186.23</v>
      </c>
      <c r="M11" s="10">
        <v>440.22316999999998</v>
      </c>
      <c r="N11" s="10">
        <v>451.09477000000004</v>
      </c>
      <c r="O11" s="10">
        <v>449.50380000000001</v>
      </c>
      <c r="Q11" s="21">
        <v>2965.14</v>
      </c>
      <c r="R11" s="21">
        <v>2894.53</v>
      </c>
      <c r="S11" s="21">
        <v>2904.86</v>
      </c>
    </row>
    <row r="12" spans="1:19" x14ac:dyDescent="0.2">
      <c r="A12" s="9" t="s">
        <v>26</v>
      </c>
      <c r="B12" s="9" t="s">
        <v>27</v>
      </c>
      <c r="C12" s="9">
        <v>16</v>
      </c>
      <c r="D12" s="9">
        <v>2</v>
      </c>
      <c r="E12" s="9">
        <v>40</v>
      </c>
      <c r="F12" s="9">
        <f t="shared" si="0"/>
        <v>58</v>
      </c>
      <c r="H12" s="10">
        <v>198.6</v>
      </c>
      <c r="I12" s="10">
        <v>90</v>
      </c>
      <c r="J12" s="10">
        <v>80.19</v>
      </c>
      <c r="K12" s="10">
        <v>108.18</v>
      </c>
      <c r="M12" s="10">
        <v>99.5</v>
      </c>
      <c r="N12" s="10">
        <v>55.414910000000006</v>
      </c>
      <c r="O12" s="10">
        <v>69.191500000000005</v>
      </c>
      <c r="Q12" s="21">
        <v>742.41</v>
      </c>
      <c r="R12" s="21">
        <v>694.61</v>
      </c>
      <c r="S12" s="21">
        <v>709.55</v>
      </c>
    </row>
    <row r="13" spans="1:19" x14ac:dyDescent="0.2">
      <c r="A13" s="9" t="s">
        <v>28</v>
      </c>
      <c r="B13" s="9" t="s">
        <v>29</v>
      </c>
      <c r="C13" s="9">
        <v>8</v>
      </c>
      <c r="D13" s="9">
        <v>0</v>
      </c>
      <c r="E13" s="9">
        <v>39</v>
      </c>
      <c r="F13" s="9">
        <f t="shared" si="0"/>
        <v>47</v>
      </c>
      <c r="H13" s="10">
        <v>228.71</v>
      </c>
      <c r="I13" s="10">
        <v>0</v>
      </c>
      <c r="J13" s="10">
        <v>165.97</v>
      </c>
      <c r="K13" s="10">
        <v>177.23</v>
      </c>
      <c r="M13" s="10">
        <v>195.78754999999998</v>
      </c>
      <c r="N13" s="10">
        <v>168.88333</v>
      </c>
      <c r="O13" s="10">
        <v>173.97332</v>
      </c>
      <c r="Q13" s="21">
        <v>896.42</v>
      </c>
      <c r="R13" s="21">
        <v>1091.52</v>
      </c>
      <c r="S13" s="21">
        <v>1054.6099999999999</v>
      </c>
    </row>
    <row r="14" spans="1:19" x14ac:dyDescent="0.2">
      <c r="A14" s="9" t="s">
        <v>30</v>
      </c>
      <c r="B14" s="9" t="s">
        <v>31</v>
      </c>
      <c r="C14" s="9">
        <v>48</v>
      </c>
      <c r="D14" s="9">
        <v>1</v>
      </c>
      <c r="E14" s="9">
        <v>102</v>
      </c>
      <c r="F14" s="9">
        <f t="shared" si="0"/>
        <v>151</v>
      </c>
      <c r="H14" s="10">
        <v>131.24</v>
      </c>
      <c r="I14" s="10">
        <v>73</v>
      </c>
      <c r="J14" s="10">
        <v>109.9</v>
      </c>
      <c r="K14" s="10">
        <v>116.27</v>
      </c>
      <c r="M14" s="10">
        <v>176.39723000000001</v>
      </c>
      <c r="N14" s="10">
        <v>184.75873999999999</v>
      </c>
      <c r="O14" s="10">
        <v>182.07795000000002</v>
      </c>
      <c r="Q14" s="21">
        <v>1467.68</v>
      </c>
      <c r="R14" s="21">
        <v>1928.91</v>
      </c>
      <c r="S14" s="21">
        <v>1781.03</v>
      </c>
    </row>
    <row r="15" spans="1:19" x14ac:dyDescent="0.2">
      <c r="A15" s="9" t="s">
        <v>32</v>
      </c>
      <c r="B15" s="9" t="s">
        <v>33</v>
      </c>
      <c r="C15" s="9">
        <v>2</v>
      </c>
      <c r="D15" s="9">
        <v>0</v>
      </c>
      <c r="E15" s="9">
        <v>147</v>
      </c>
      <c r="F15" s="9">
        <f t="shared" si="0"/>
        <v>149</v>
      </c>
      <c r="H15" s="10">
        <v>120.5</v>
      </c>
      <c r="I15" s="10">
        <v>0</v>
      </c>
      <c r="J15" s="10">
        <v>95.03</v>
      </c>
      <c r="K15" s="10">
        <v>95.41</v>
      </c>
      <c r="M15" s="10">
        <v>0</v>
      </c>
      <c r="N15" s="10">
        <v>156.84369000000001</v>
      </c>
      <c r="O15" s="10">
        <v>157.83870999999999</v>
      </c>
      <c r="Q15" s="21">
        <v>0</v>
      </c>
      <c r="R15" s="21">
        <v>1732.27</v>
      </c>
      <c r="S15" s="21">
        <v>1733.12</v>
      </c>
    </row>
    <row r="16" spans="1:19" x14ac:dyDescent="0.2">
      <c r="A16" s="9" t="s">
        <v>34</v>
      </c>
      <c r="B16" s="9" t="s">
        <v>35</v>
      </c>
      <c r="C16" s="9">
        <v>30</v>
      </c>
      <c r="D16" s="9">
        <v>0</v>
      </c>
      <c r="E16" s="9">
        <v>76</v>
      </c>
      <c r="F16" s="9">
        <f t="shared" si="0"/>
        <v>106</v>
      </c>
      <c r="H16" s="10">
        <v>181.76</v>
      </c>
      <c r="I16" s="10">
        <v>0</v>
      </c>
      <c r="J16" s="10">
        <v>209.11</v>
      </c>
      <c r="K16" s="10">
        <v>202.2</v>
      </c>
      <c r="M16" s="10">
        <v>275.12227000000001</v>
      </c>
      <c r="N16" s="10">
        <v>275.88092999999998</v>
      </c>
      <c r="O16" s="10">
        <v>275.68738999999999</v>
      </c>
      <c r="Q16" s="21">
        <v>1660.29</v>
      </c>
      <c r="R16" s="21">
        <v>1399.53</v>
      </c>
      <c r="S16" s="21">
        <v>1466.05</v>
      </c>
    </row>
    <row r="17" spans="1:19" x14ac:dyDescent="0.2">
      <c r="A17" s="9" t="s">
        <v>36</v>
      </c>
      <c r="B17" s="9" t="s">
        <v>37</v>
      </c>
      <c r="C17" s="9">
        <v>5</v>
      </c>
      <c r="D17" s="9">
        <v>1</v>
      </c>
      <c r="E17" s="9">
        <v>255</v>
      </c>
      <c r="F17" s="9">
        <f t="shared" si="0"/>
        <v>261</v>
      </c>
      <c r="H17" s="10">
        <v>84.25</v>
      </c>
      <c r="I17" s="10">
        <v>84</v>
      </c>
      <c r="J17" s="10">
        <v>90.34</v>
      </c>
      <c r="K17" s="10">
        <v>90.19</v>
      </c>
      <c r="M17" s="10">
        <v>45</v>
      </c>
      <c r="N17" s="10">
        <v>56.68233</v>
      </c>
      <c r="O17" s="10">
        <v>56.429739999999995</v>
      </c>
      <c r="Q17" s="21">
        <v>635.38</v>
      </c>
      <c r="R17" s="21">
        <v>631.83000000000004</v>
      </c>
      <c r="S17" s="21">
        <v>631.91</v>
      </c>
    </row>
    <row r="18" spans="1:19" x14ac:dyDescent="0.2">
      <c r="A18" s="9" t="s">
        <v>38</v>
      </c>
      <c r="B18" s="9" t="s">
        <v>39</v>
      </c>
      <c r="C18" s="9">
        <v>7</v>
      </c>
      <c r="D18" s="9">
        <v>0</v>
      </c>
      <c r="E18" s="9">
        <v>42</v>
      </c>
      <c r="F18" s="9">
        <f t="shared" si="0"/>
        <v>49</v>
      </c>
      <c r="H18" s="10">
        <v>97.5</v>
      </c>
      <c r="I18" s="10">
        <v>0</v>
      </c>
      <c r="J18" s="10">
        <v>118.95</v>
      </c>
      <c r="K18" s="10">
        <v>116.02</v>
      </c>
      <c r="M18" s="10">
        <v>76.495000000000005</v>
      </c>
      <c r="N18" s="10">
        <v>99.526699999999991</v>
      </c>
      <c r="O18" s="10">
        <v>96.156210000000002</v>
      </c>
      <c r="Q18" s="21">
        <v>810.8</v>
      </c>
      <c r="R18" s="21">
        <v>871.61</v>
      </c>
      <c r="S18" s="21">
        <v>862.71</v>
      </c>
    </row>
    <row r="19" spans="1:19" x14ac:dyDescent="0.2">
      <c r="A19" s="9" t="s">
        <v>40</v>
      </c>
      <c r="B19" s="9" t="s">
        <v>41</v>
      </c>
      <c r="C19" s="9">
        <v>9</v>
      </c>
      <c r="D19" s="9">
        <v>3</v>
      </c>
      <c r="E19" s="9">
        <v>33</v>
      </c>
      <c r="F19" s="9">
        <f t="shared" si="0"/>
        <v>45</v>
      </c>
      <c r="H19" s="10">
        <v>142.25</v>
      </c>
      <c r="I19" s="10">
        <v>82.67</v>
      </c>
      <c r="J19" s="10">
        <v>92</v>
      </c>
      <c r="K19" s="10">
        <v>101.84</v>
      </c>
      <c r="M19" s="10">
        <v>125.99325</v>
      </c>
      <c r="N19" s="10">
        <v>63.2</v>
      </c>
      <c r="O19" s="10">
        <v>82.521000000000001</v>
      </c>
      <c r="Q19" s="21">
        <v>851.3</v>
      </c>
      <c r="R19" s="21">
        <v>736.24</v>
      </c>
      <c r="S19" s="21">
        <v>771.64</v>
      </c>
    </row>
    <row r="20" spans="1:19" x14ac:dyDescent="0.2">
      <c r="A20" s="9" t="s">
        <v>42</v>
      </c>
      <c r="B20" s="9" t="s">
        <v>43</v>
      </c>
      <c r="C20" s="9">
        <v>1</v>
      </c>
      <c r="D20" s="9">
        <v>0</v>
      </c>
      <c r="E20" s="9">
        <v>44</v>
      </c>
      <c r="F20" s="9">
        <f t="shared" si="0"/>
        <v>45</v>
      </c>
      <c r="H20" s="10">
        <v>162</v>
      </c>
      <c r="I20" s="10">
        <v>0</v>
      </c>
      <c r="J20" s="10">
        <v>111.74</v>
      </c>
      <c r="K20" s="10">
        <v>113.03</v>
      </c>
      <c r="M20" s="10">
        <v>0</v>
      </c>
      <c r="N20" s="10">
        <v>103.85186</v>
      </c>
      <c r="O20" s="10">
        <v>104.28830000000001</v>
      </c>
      <c r="Q20" s="21">
        <v>0</v>
      </c>
      <c r="R20" s="21">
        <v>918.38</v>
      </c>
      <c r="S20" s="21">
        <v>913.58</v>
      </c>
    </row>
    <row r="21" spans="1:19" x14ac:dyDescent="0.2">
      <c r="A21" s="9" t="s">
        <v>44</v>
      </c>
      <c r="B21" s="9" t="s">
        <v>45</v>
      </c>
      <c r="C21" s="9">
        <v>81</v>
      </c>
      <c r="D21" s="9">
        <v>3</v>
      </c>
      <c r="E21" s="9">
        <v>149</v>
      </c>
      <c r="F21" s="9">
        <f t="shared" si="0"/>
        <v>233</v>
      </c>
      <c r="H21" s="10">
        <v>94.41</v>
      </c>
      <c r="I21" s="10">
        <v>64</v>
      </c>
      <c r="J21" s="10">
        <v>102.24</v>
      </c>
      <c r="K21" s="10">
        <v>98.89</v>
      </c>
      <c r="M21" s="10">
        <v>174.57753</v>
      </c>
      <c r="N21" s="10">
        <v>216.33381</v>
      </c>
      <c r="O21" s="10">
        <v>200.79659000000001</v>
      </c>
      <c r="Q21" s="21">
        <v>1856.12</v>
      </c>
      <c r="R21" s="21">
        <v>2165.41</v>
      </c>
      <c r="S21" s="21">
        <v>2050.33</v>
      </c>
    </row>
    <row r="22" spans="1:19" x14ac:dyDescent="0.2">
      <c r="A22" s="9" t="s">
        <v>46</v>
      </c>
      <c r="B22" s="9" t="s">
        <v>47</v>
      </c>
      <c r="C22" s="9">
        <v>43</v>
      </c>
      <c r="D22" s="9">
        <v>3</v>
      </c>
      <c r="E22" s="9">
        <v>91</v>
      </c>
      <c r="F22" s="9">
        <f t="shared" si="0"/>
        <v>137</v>
      </c>
      <c r="H22" s="10">
        <v>77.78</v>
      </c>
      <c r="I22" s="10">
        <v>79</v>
      </c>
      <c r="J22" s="10">
        <v>117.72</v>
      </c>
      <c r="K22" s="10">
        <v>105.39</v>
      </c>
      <c r="M22" s="10">
        <v>131.89298000000002</v>
      </c>
      <c r="N22" s="10">
        <v>213.53120000000001</v>
      </c>
      <c r="O22" s="10">
        <v>189.03973000000002</v>
      </c>
      <c r="Q22" s="21">
        <v>1737.41</v>
      </c>
      <c r="R22" s="21">
        <v>1944.55</v>
      </c>
      <c r="S22" s="21">
        <v>1882.41</v>
      </c>
    </row>
    <row r="23" spans="1:19" x14ac:dyDescent="0.2">
      <c r="A23" s="9" t="s">
        <v>48</v>
      </c>
      <c r="B23" s="9" t="s">
        <v>49</v>
      </c>
      <c r="C23" s="9">
        <v>29</v>
      </c>
      <c r="D23" s="9">
        <v>0</v>
      </c>
      <c r="E23" s="9">
        <v>76</v>
      </c>
      <c r="F23" s="9">
        <f t="shared" si="0"/>
        <v>105</v>
      </c>
      <c r="H23" s="10">
        <v>131.16999999999999</v>
      </c>
      <c r="I23" s="10">
        <v>0</v>
      </c>
      <c r="J23" s="10">
        <v>139.04</v>
      </c>
      <c r="K23" s="10">
        <v>136.71</v>
      </c>
      <c r="M23" s="10">
        <v>210.31238000000002</v>
      </c>
      <c r="N23" s="10">
        <v>225.80852999999999</v>
      </c>
      <c r="O23" s="10">
        <v>221.21707999999998</v>
      </c>
      <c r="Q23" s="21">
        <v>1737.2</v>
      </c>
      <c r="R23" s="21">
        <v>1913.09</v>
      </c>
      <c r="S23" s="21">
        <v>1860.97</v>
      </c>
    </row>
    <row r="24" spans="1:19" x14ac:dyDescent="0.2">
      <c r="A24" s="9" t="s">
        <v>50</v>
      </c>
      <c r="B24" s="9" t="s">
        <v>51</v>
      </c>
      <c r="C24" s="9">
        <v>15</v>
      </c>
      <c r="D24" s="9">
        <v>0</v>
      </c>
      <c r="E24" s="9">
        <v>37</v>
      </c>
      <c r="F24" s="9">
        <f t="shared" si="0"/>
        <v>52</v>
      </c>
      <c r="H24" s="10">
        <v>131.25</v>
      </c>
      <c r="I24" s="10">
        <v>0</v>
      </c>
      <c r="J24" s="10">
        <v>127.03</v>
      </c>
      <c r="K24" s="10">
        <v>128.11000000000001</v>
      </c>
      <c r="M24" s="10">
        <v>96.9</v>
      </c>
      <c r="N24" s="10">
        <v>152.11885000000001</v>
      </c>
      <c r="O24" s="10">
        <v>138.02042</v>
      </c>
      <c r="Q24" s="21">
        <v>995.85</v>
      </c>
      <c r="R24" s="21">
        <v>1356.23</v>
      </c>
      <c r="S24" s="21">
        <v>1264.22</v>
      </c>
    </row>
    <row r="25" spans="1:19" x14ac:dyDescent="0.2">
      <c r="A25" s="9" t="s">
        <v>52</v>
      </c>
      <c r="B25" s="9" t="s">
        <v>53</v>
      </c>
      <c r="C25" s="9">
        <v>629</v>
      </c>
      <c r="D25" s="9">
        <v>44</v>
      </c>
      <c r="E25" s="9">
        <v>1578</v>
      </c>
      <c r="F25" s="9">
        <f t="shared" si="0"/>
        <v>2251</v>
      </c>
      <c r="H25" s="10">
        <v>79.2</v>
      </c>
      <c r="I25" s="10">
        <v>65.48</v>
      </c>
      <c r="J25" s="10">
        <v>73.03</v>
      </c>
      <c r="K25" s="10">
        <v>74.599999999999994</v>
      </c>
      <c r="M25" s="10">
        <v>211.52167</v>
      </c>
      <c r="N25" s="10">
        <v>166.73885999999999</v>
      </c>
      <c r="O25" s="10">
        <v>180.10726</v>
      </c>
      <c r="Q25" s="21">
        <v>2640.76</v>
      </c>
      <c r="R25" s="21">
        <v>2236.59</v>
      </c>
      <c r="S25" s="21">
        <v>2357.2399999999998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11</v>
      </c>
      <c r="E26" s="9">
        <v>71</v>
      </c>
      <c r="F26" s="9">
        <f t="shared" si="0"/>
        <v>84</v>
      </c>
      <c r="H26" s="10">
        <v>89</v>
      </c>
      <c r="I26" s="10">
        <v>81.09</v>
      </c>
      <c r="J26" s="10">
        <v>81.92</v>
      </c>
      <c r="K26" s="10">
        <v>81.89</v>
      </c>
      <c r="M26" s="10">
        <v>0</v>
      </c>
      <c r="N26" s="10">
        <v>118.917</v>
      </c>
      <c r="O26" s="10">
        <v>117.92338000000001</v>
      </c>
      <c r="Q26" s="21">
        <v>0</v>
      </c>
      <c r="R26" s="21">
        <v>1409.7</v>
      </c>
      <c r="S26" s="21">
        <v>1392.88</v>
      </c>
    </row>
    <row r="27" spans="1:19" x14ac:dyDescent="0.2">
      <c r="A27" s="9" t="s">
        <v>56</v>
      </c>
      <c r="B27" s="9" t="s">
        <v>57</v>
      </c>
      <c r="C27" s="9">
        <v>1</v>
      </c>
      <c r="D27" s="9">
        <v>1</v>
      </c>
      <c r="E27" s="9">
        <v>80</v>
      </c>
      <c r="F27" s="9">
        <f t="shared" si="0"/>
        <v>82</v>
      </c>
      <c r="H27" s="10">
        <v>118</v>
      </c>
      <c r="I27" s="10">
        <v>78</v>
      </c>
      <c r="J27" s="10">
        <v>80.709999999999994</v>
      </c>
      <c r="K27" s="10">
        <v>81.2</v>
      </c>
      <c r="M27" s="10">
        <v>0</v>
      </c>
      <c r="N27" s="10">
        <v>49.801790000000004</v>
      </c>
      <c r="O27" s="10">
        <v>50.169029999999999</v>
      </c>
      <c r="Q27" s="21">
        <v>0</v>
      </c>
      <c r="R27" s="21">
        <v>639.23</v>
      </c>
      <c r="S27" s="21">
        <v>638.39</v>
      </c>
    </row>
    <row r="28" spans="1:19" x14ac:dyDescent="0.2">
      <c r="A28" s="9" t="s">
        <v>58</v>
      </c>
      <c r="B28" s="9" t="s">
        <v>59</v>
      </c>
      <c r="C28" s="9">
        <v>61</v>
      </c>
      <c r="D28" s="9">
        <v>9</v>
      </c>
      <c r="E28" s="9">
        <v>118</v>
      </c>
      <c r="F28" s="9">
        <f t="shared" si="0"/>
        <v>188</v>
      </c>
      <c r="H28" s="10">
        <v>129.32</v>
      </c>
      <c r="I28" s="10">
        <v>81.709999999999994</v>
      </c>
      <c r="J28" s="10">
        <v>105.56</v>
      </c>
      <c r="K28" s="10">
        <v>112.78</v>
      </c>
      <c r="M28" s="10">
        <v>186.13598999999999</v>
      </c>
      <c r="N28" s="10">
        <v>146.55535</v>
      </c>
      <c r="O28" s="10">
        <v>161.71935999999999</v>
      </c>
      <c r="Q28" s="21">
        <v>1581.94</v>
      </c>
      <c r="R28" s="21">
        <v>1461.44</v>
      </c>
      <c r="S28" s="21">
        <v>1507.61</v>
      </c>
    </row>
    <row r="29" spans="1:19" x14ac:dyDescent="0.2">
      <c r="A29" s="9" t="s">
        <v>60</v>
      </c>
      <c r="B29" s="9" t="s">
        <v>61</v>
      </c>
      <c r="C29" s="9">
        <v>49</v>
      </c>
      <c r="D29" s="9">
        <v>0</v>
      </c>
      <c r="E29" s="9">
        <v>374</v>
      </c>
      <c r="F29" s="9">
        <f t="shared" si="0"/>
        <v>423</v>
      </c>
      <c r="H29" s="10">
        <v>102.22</v>
      </c>
      <c r="I29" s="10">
        <v>0</v>
      </c>
      <c r="J29" s="10">
        <v>88.93</v>
      </c>
      <c r="K29" s="10">
        <v>90.47</v>
      </c>
      <c r="M29" s="10">
        <v>222.32617000000002</v>
      </c>
      <c r="N29" s="10">
        <v>174.42239999999998</v>
      </c>
      <c r="O29" s="10">
        <v>180.96119000000002</v>
      </c>
      <c r="Q29" s="21">
        <v>2251.83</v>
      </c>
      <c r="R29" s="21">
        <v>2041.91</v>
      </c>
      <c r="S29" s="21">
        <v>2070.56</v>
      </c>
    </row>
    <row r="30" spans="1:19" x14ac:dyDescent="0.2">
      <c r="A30" s="9" t="s">
        <v>62</v>
      </c>
      <c r="B30" s="9" t="s">
        <v>63</v>
      </c>
      <c r="C30" s="9">
        <v>1099</v>
      </c>
      <c r="D30" s="9">
        <v>35</v>
      </c>
      <c r="E30" s="9">
        <v>12275</v>
      </c>
      <c r="F30" s="9">
        <f t="shared" si="0"/>
        <v>13409</v>
      </c>
      <c r="H30" s="10">
        <v>90.73</v>
      </c>
      <c r="I30" s="10">
        <v>76.19</v>
      </c>
      <c r="J30" s="10">
        <v>77.36</v>
      </c>
      <c r="K30" s="10">
        <v>78.44</v>
      </c>
      <c r="M30" s="10">
        <v>456.53728000000001</v>
      </c>
      <c r="N30" s="10">
        <v>342.93321000000003</v>
      </c>
      <c r="O30" s="10">
        <v>355.67536000000001</v>
      </c>
      <c r="Q30" s="21">
        <v>4674.55</v>
      </c>
      <c r="R30" s="21">
        <v>4058</v>
      </c>
      <c r="S30" s="21">
        <v>4127.1499999999996</v>
      </c>
    </row>
    <row r="31" spans="1:19" x14ac:dyDescent="0.2">
      <c r="A31" s="9" t="s">
        <v>64</v>
      </c>
      <c r="B31" s="9" t="s">
        <v>65</v>
      </c>
      <c r="C31" s="9">
        <v>3</v>
      </c>
      <c r="D31" s="9">
        <v>0</v>
      </c>
      <c r="E31" s="9">
        <v>62</v>
      </c>
      <c r="F31" s="9">
        <f t="shared" si="0"/>
        <v>65</v>
      </c>
      <c r="H31" s="10">
        <v>280</v>
      </c>
      <c r="I31" s="10">
        <v>0</v>
      </c>
      <c r="J31" s="10">
        <v>177.53</v>
      </c>
      <c r="K31" s="10">
        <v>181.13</v>
      </c>
      <c r="M31" s="10">
        <v>374.5</v>
      </c>
      <c r="N31" s="10">
        <v>331.10980000000001</v>
      </c>
      <c r="O31" s="10">
        <v>332.63226000000003</v>
      </c>
      <c r="Q31" s="21">
        <v>1337.5</v>
      </c>
      <c r="R31" s="21">
        <v>2050.3200000000002</v>
      </c>
      <c r="S31" s="21">
        <v>2025.31</v>
      </c>
    </row>
    <row r="32" spans="1:19" x14ac:dyDescent="0.2">
      <c r="A32" s="9" t="s">
        <v>435</v>
      </c>
      <c r="B32" s="9" t="s">
        <v>436</v>
      </c>
      <c r="C32" s="9">
        <v>3</v>
      </c>
      <c r="D32" s="9">
        <v>0</v>
      </c>
      <c r="E32" s="9">
        <v>30</v>
      </c>
      <c r="F32" s="9">
        <f t="shared" si="0"/>
        <v>33</v>
      </c>
      <c r="H32" s="10">
        <v>90</v>
      </c>
      <c r="I32" s="10">
        <v>0</v>
      </c>
      <c r="J32" s="10">
        <v>128.38999999999999</v>
      </c>
      <c r="K32" s="10">
        <v>126.79</v>
      </c>
      <c r="M32" s="10">
        <v>55</v>
      </c>
      <c r="N32" s="10">
        <v>75.407250000000005</v>
      </c>
      <c r="O32" s="10">
        <v>74.51997999999999</v>
      </c>
      <c r="Q32" s="21">
        <v>611.11</v>
      </c>
      <c r="R32" s="21">
        <v>656.24</v>
      </c>
      <c r="S32" s="21">
        <v>654.28</v>
      </c>
    </row>
    <row r="33" spans="1:19" x14ac:dyDescent="0.2">
      <c r="A33" s="9" t="s">
        <v>66</v>
      </c>
      <c r="B33" s="9" t="s">
        <v>67</v>
      </c>
      <c r="C33" s="9">
        <v>7</v>
      </c>
      <c r="D33" s="9">
        <v>0</v>
      </c>
      <c r="E33" s="9">
        <v>101</v>
      </c>
      <c r="F33" s="9">
        <f t="shared" si="0"/>
        <v>108</v>
      </c>
      <c r="H33" s="10">
        <v>83.75</v>
      </c>
      <c r="I33" s="10">
        <v>0</v>
      </c>
      <c r="J33" s="10">
        <v>84.84</v>
      </c>
      <c r="K33" s="10">
        <v>84.79</v>
      </c>
      <c r="M33" s="10">
        <v>134.25</v>
      </c>
      <c r="N33" s="10">
        <v>83.232339999999994</v>
      </c>
      <c r="O33" s="10">
        <v>85.403300000000002</v>
      </c>
      <c r="Q33" s="21">
        <v>1532.04</v>
      </c>
      <c r="R33" s="21">
        <v>1040.53</v>
      </c>
      <c r="S33" s="21">
        <v>1061.45</v>
      </c>
    </row>
    <row r="34" spans="1:19" x14ac:dyDescent="0.2">
      <c r="A34" s="9" t="s">
        <v>68</v>
      </c>
      <c r="B34" s="9" t="s">
        <v>69</v>
      </c>
      <c r="C34" s="9">
        <v>26</v>
      </c>
      <c r="D34" s="9">
        <v>0</v>
      </c>
      <c r="E34" s="9">
        <v>110</v>
      </c>
      <c r="F34" s="9">
        <f t="shared" si="0"/>
        <v>136</v>
      </c>
      <c r="H34" s="10">
        <v>125.71</v>
      </c>
      <c r="I34" s="10">
        <v>0</v>
      </c>
      <c r="J34" s="10">
        <v>173.58</v>
      </c>
      <c r="K34" s="10">
        <v>165.73</v>
      </c>
      <c r="M34" s="10">
        <v>180.35729000000001</v>
      </c>
      <c r="N34" s="10">
        <v>198.59520000000001</v>
      </c>
      <c r="O34" s="10">
        <v>195.60304000000002</v>
      </c>
      <c r="Q34" s="21">
        <v>1612.05</v>
      </c>
      <c r="R34" s="21">
        <v>1269.43</v>
      </c>
      <c r="S34" s="21">
        <v>1325.64</v>
      </c>
    </row>
    <row r="35" spans="1:19" x14ac:dyDescent="0.2">
      <c r="A35" s="9" t="s">
        <v>70</v>
      </c>
      <c r="B35" s="9" t="s">
        <v>71</v>
      </c>
      <c r="C35" s="9">
        <v>22</v>
      </c>
      <c r="D35" s="9">
        <v>1</v>
      </c>
      <c r="E35" s="9">
        <v>84</v>
      </c>
      <c r="F35" s="9">
        <f t="shared" si="0"/>
        <v>107</v>
      </c>
      <c r="H35" s="10">
        <v>119.14</v>
      </c>
      <c r="I35" s="10">
        <v>0</v>
      </c>
      <c r="J35" s="10">
        <v>112.6</v>
      </c>
      <c r="K35" s="10">
        <v>114.04</v>
      </c>
      <c r="M35" s="10">
        <v>114.92727000000001</v>
      </c>
      <c r="N35" s="10">
        <v>98.482529999999997</v>
      </c>
      <c r="O35" s="10">
        <v>102.25112</v>
      </c>
      <c r="Q35" s="21">
        <v>1096.99</v>
      </c>
      <c r="R35" s="21">
        <v>978.66</v>
      </c>
      <c r="S35" s="21">
        <v>1005.78</v>
      </c>
    </row>
    <row r="36" spans="1:19" x14ac:dyDescent="0.2">
      <c r="A36" s="9" t="s">
        <v>72</v>
      </c>
      <c r="B36" s="9" t="s">
        <v>73</v>
      </c>
      <c r="C36" s="9">
        <v>24</v>
      </c>
      <c r="D36" s="9">
        <v>0</v>
      </c>
      <c r="E36" s="9">
        <v>525</v>
      </c>
      <c r="F36" s="9">
        <f t="shared" si="0"/>
        <v>549</v>
      </c>
      <c r="H36" s="10">
        <v>105.21</v>
      </c>
      <c r="I36" s="10">
        <v>0</v>
      </c>
      <c r="J36" s="10">
        <v>75.55</v>
      </c>
      <c r="K36" s="10">
        <v>76.41</v>
      </c>
      <c r="M36" s="10">
        <v>206.79253</v>
      </c>
      <c r="N36" s="10">
        <v>132.84224</v>
      </c>
      <c r="O36" s="10">
        <v>134.99912</v>
      </c>
      <c r="Q36" s="21">
        <v>1949.7</v>
      </c>
      <c r="R36" s="21">
        <v>1859.48</v>
      </c>
      <c r="S36" s="21">
        <v>1862.11</v>
      </c>
    </row>
    <row r="37" spans="1:19" x14ac:dyDescent="0.2">
      <c r="A37" s="9" t="s">
        <v>74</v>
      </c>
      <c r="B37" s="9" t="s">
        <v>75</v>
      </c>
      <c r="C37" s="9">
        <v>5</v>
      </c>
      <c r="D37" s="9">
        <v>0</v>
      </c>
      <c r="E37" s="9">
        <v>26</v>
      </c>
      <c r="F37" s="9">
        <f t="shared" si="0"/>
        <v>31</v>
      </c>
      <c r="H37" s="10">
        <v>155</v>
      </c>
      <c r="I37" s="10">
        <v>0</v>
      </c>
      <c r="J37" s="10">
        <v>145.18</v>
      </c>
      <c r="K37" s="10">
        <v>147.41</v>
      </c>
      <c r="M37" s="10">
        <v>116.9</v>
      </c>
      <c r="N37" s="10">
        <v>99.921490000000006</v>
      </c>
      <c r="O37" s="10">
        <v>104.38952</v>
      </c>
      <c r="Q37" s="21">
        <v>814.5</v>
      </c>
      <c r="R37" s="21">
        <v>635.64</v>
      </c>
      <c r="S37" s="21">
        <v>682.71</v>
      </c>
    </row>
    <row r="38" spans="1:19" x14ac:dyDescent="0.2">
      <c r="A38" s="9" t="s">
        <v>76</v>
      </c>
      <c r="B38" s="9" t="s">
        <v>77</v>
      </c>
      <c r="C38" s="9">
        <v>0</v>
      </c>
      <c r="D38" s="9">
        <v>0</v>
      </c>
      <c r="E38" s="9">
        <v>78</v>
      </c>
      <c r="F38" s="9">
        <f t="shared" si="0"/>
        <v>78</v>
      </c>
      <c r="H38" s="10">
        <v>0</v>
      </c>
      <c r="I38" s="10">
        <v>0</v>
      </c>
      <c r="J38" s="10">
        <v>209.76</v>
      </c>
      <c r="K38" s="10">
        <v>209.76</v>
      </c>
      <c r="M38" s="10">
        <v>0</v>
      </c>
      <c r="N38" s="10">
        <v>400.38198999999997</v>
      </c>
      <c r="O38" s="10">
        <v>400.38198999999997</v>
      </c>
      <c r="Q38" s="21">
        <v>0</v>
      </c>
      <c r="R38" s="21">
        <v>2176</v>
      </c>
      <c r="S38" s="21">
        <v>2176</v>
      </c>
    </row>
    <row r="39" spans="1:19" x14ac:dyDescent="0.2">
      <c r="A39" s="9" t="s">
        <v>78</v>
      </c>
      <c r="B39" s="9" t="s">
        <v>79</v>
      </c>
      <c r="C39" s="9">
        <v>147</v>
      </c>
      <c r="D39" s="9">
        <v>5</v>
      </c>
      <c r="E39" s="9">
        <v>316</v>
      </c>
      <c r="F39" s="9">
        <f t="shared" si="0"/>
        <v>468</v>
      </c>
      <c r="H39" s="10">
        <v>88.31</v>
      </c>
      <c r="I39" s="10">
        <v>58</v>
      </c>
      <c r="J39" s="10">
        <v>85.5</v>
      </c>
      <c r="K39" s="10">
        <v>86.05</v>
      </c>
      <c r="M39" s="10">
        <v>138.11085999999997</v>
      </c>
      <c r="N39" s="10">
        <v>125.24186</v>
      </c>
      <c r="O39" s="10">
        <v>129.22512</v>
      </c>
      <c r="Q39" s="21">
        <v>1621.81</v>
      </c>
      <c r="R39" s="21">
        <v>1615.85</v>
      </c>
      <c r="S39" s="21">
        <v>1617.69</v>
      </c>
    </row>
    <row r="40" spans="1:19" x14ac:dyDescent="0.2">
      <c r="A40" s="9" t="s">
        <v>80</v>
      </c>
      <c r="B40" s="9" t="s">
        <v>81</v>
      </c>
      <c r="C40" s="9">
        <v>19</v>
      </c>
      <c r="D40" s="9">
        <v>0</v>
      </c>
      <c r="E40" s="9">
        <v>77</v>
      </c>
      <c r="F40" s="9">
        <f t="shared" si="0"/>
        <v>96</v>
      </c>
      <c r="H40" s="10">
        <v>124.17</v>
      </c>
      <c r="I40" s="10">
        <v>0</v>
      </c>
      <c r="J40" s="10">
        <v>155.15</v>
      </c>
      <c r="K40" s="10">
        <v>148.18</v>
      </c>
      <c r="M40" s="10">
        <v>351.41951</v>
      </c>
      <c r="N40" s="10">
        <v>311.15906999999999</v>
      </c>
      <c r="O40" s="10">
        <v>320.21767</v>
      </c>
      <c r="Q40" s="21">
        <v>2412.11</v>
      </c>
      <c r="R40" s="21">
        <v>1860.01</v>
      </c>
      <c r="S40" s="21">
        <v>1984.23</v>
      </c>
    </row>
    <row r="41" spans="1:19" x14ac:dyDescent="0.2">
      <c r="A41" s="9" t="s">
        <v>82</v>
      </c>
      <c r="B41" s="9" t="s">
        <v>83</v>
      </c>
      <c r="C41" s="9">
        <v>47</v>
      </c>
      <c r="D41" s="9">
        <v>0</v>
      </c>
      <c r="E41" s="9">
        <v>142</v>
      </c>
      <c r="F41" s="9">
        <f t="shared" si="0"/>
        <v>189</v>
      </c>
      <c r="H41" s="10">
        <v>115.4</v>
      </c>
      <c r="I41" s="10">
        <v>0</v>
      </c>
      <c r="J41" s="10">
        <v>142.58000000000001</v>
      </c>
      <c r="K41" s="10">
        <v>136.01</v>
      </c>
      <c r="M41" s="10">
        <v>146.37835999999999</v>
      </c>
      <c r="N41" s="10">
        <v>201.55720000000002</v>
      </c>
      <c r="O41" s="10">
        <v>188.22748000000001</v>
      </c>
      <c r="Q41" s="21">
        <v>1529.8</v>
      </c>
      <c r="R41" s="21">
        <v>1622.38</v>
      </c>
      <c r="S41" s="21">
        <v>1600.02</v>
      </c>
    </row>
    <row r="42" spans="1:19" x14ac:dyDescent="0.2">
      <c r="A42" s="9" t="s">
        <v>84</v>
      </c>
      <c r="B42" s="9" t="s">
        <v>85</v>
      </c>
      <c r="C42" s="9">
        <v>61</v>
      </c>
      <c r="D42" s="9">
        <v>0</v>
      </c>
      <c r="E42" s="9">
        <v>192</v>
      </c>
      <c r="F42" s="9">
        <f t="shared" si="0"/>
        <v>253</v>
      </c>
      <c r="H42" s="10">
        <v>88.63</v>
      </c>
      <c r="I42" s="10">
        <v>0</v>
      </c>
      <c r="J42" s="10">
        <v>78.81</v>
      </c>
      <c r="K42" s="10">
        <v>81.209999999999994</v>
      </c>
      <c r="M42" s="10">
        <v>179.08226000000002</v>
      </c>
      <c r="N42" s="10">
        <v>163.74198999999999</v>
      </c>
      <c r="O42" s="10">
        <v>167.59395000000001</v>
      </c>
      <c r="Q42" s="21">
        <v>2128.69</v>
      </c>
      <c r="R42" s="21">
        <v>2125.31</v>
      </c>
      <c r="S42" s="21">
        <v>2126.16</v>
      </c>
    </row>
    <row r="43" spans="1:19" x14ac:dyDescent="0.2">
      <c r="A43" s="9" t="s">
        <v>86</v>
      </c>
      <c r="B43" s="9" t="s">
        <v>87</v>
      </c>
      <c r="C43" s="9">
        <v>86</v>
      </c>
      <c r="D43" s="9">
        <v>0</v>
      </c>
      <c r="E43" s="9">
        <v>302</v>
      </c>
      <c r="F43" s="9">
        <f t="shared" si="0"/>
        <v>388</v>
      </c>
      <c r="H43" s="10">
        <v>96.67</v>
      </c>
      <c r="I43" s="10">
        <v>0</v>
      </c>
      <c r="J43" s="10">
        <v>103.21</v>
      </c>
      <c r="K43" s="10">
        <v>101.8</v>
      </c>
      <c r="M43" s="10">
        <v>212.28476999999998</v>
      </c>
      <c r="N43" s="10">
        <v>209.26876999999999</v>
      </c>
      <c r="O43" s="10">
        <v>209.92180999999999</v>
      </c>
      <c r="Q43" s="21">
        <v>2388.58</v>
      </c>
      <c r="R43" s="21">
        <v>2143.7800000000002</v>
      </c>
      <c r="S43" s="21">
        <v>2196.79</v>
      </c>
    </row>
    <row r="44" spans="1:19" x14ac:dyDescent="0.2">
      <c r="A44" s="9" t="s">
        <v>88</v>
      </c>
      <c r="B44" s="9" t="s">
        <v>89</v>
      </c>
      <c r="C44" s="9">
        <v>16</v>
      </c>
      <c r="D44" s="9">
        <v>0</v>
      </c>
      <c r="E44" s="9">
        <v>616</v>
      </c>
      <c r="F44" s="9">
        <f t="shared" si="0"/>
        <v>632</v>
      </c>
      <c r="H44" s="10">
        <v>190.15</v>
      </c>
      <c r="I44" s="10">
        <v>0</v>
      </c>
      <c r="J44" s="10">
        <v>89.57</v>
      </c>
      <c r="K44" s="10">
        <v>91.91</v>
      </c>
      <c r="M44" s="10">
        <v>408.12860999999998</v>
      </c>
      <c r="N44" s="10">
        <v>158.35463000000001</v>
      </c>
      <c r="O44" s="10">
        <v>164.22635</v>
      </c>
      <c r="Q44" s="21">
        <v>2167.63</v>
      </c>
      <c r="R44" s="21">
        <v>1905.27</v>
      </c>
      <c r="S44" s="21">
        <v>1911.44</v>
      </c>
    </row>
    <row r="45" spans="1:19" x14ac:dyDescent="0.2">
      <c r="A45" s="9" t="s">
        <v>90</v>
      </c>
      <c r="B45" s="9" t="s">
        <v>91</v>
      </c>
      <c r="C45" s="9">
        <v>53</v>
      </c>
      <c r="D45" s="9">
        <v>1</v>
      </c>
      <c r="E45" s="9">
        <v>120</v>
      </c>
      <c r="F45" s="9">
        <f t="shared" si="0"/>
        <v>174</v>
      </c>
      <c r="H45" s="10">
        <v>100.49</v>
      </c>
      <c r="I45" s="10">
        <v>90</v>
      </c>
      <c r="J45" s="10">
        <v>85.4</v>
      </c>
      <c r="K45" s="10">
        <v>89.98</v>
      </c>
      <c r="M45" s="10">
        <v>209.03047000000001</v>
      </c>
      <c r="N45" s="10">
        <v>167.52554999999998</v>
      </c>
      <c r="O45" s="10">
        <v>180.20070999999999</v>
      </c>
      <c r="Q45" s="21">
        <v>2137.61</v>
      </c>
      <c r="R45" s="21">
        <v>1986.52</v>
      </c>
      <c r="S45" s="21">
        <v>2032.66</v>
      </c>
    </row>
    <row r="46" spans="1:19" x14ac:dyDescent="0.2">
      <c r="A46" s="9" t="s">
        <v>92</v>
      </c>
      <c r="B46" s="9" t="s">
        <v>93</v>
      </c>
      <c r="C46" s="9">
        <v>0</v>
      </c>
      <c r="D46" s="9">
        <v>0</v>
      </c>
      <c r="E46" s="9">
        <v>0</v>
      </c>
      <c r="F46" s="9">
        <f t="shared" si="0"/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21">
        <v>0</v>
      </c>
      <c r="R46" s="21">
        <v>0</v>
      </c>
      <c r="S46" s="21">
        <v>0</v>
      </c>
    </row>
    <row r="47" spans="1:19" x14ac:dyDescent="0.2">
      <c r="A47" s="9" t="s">
        <v>94</v>
      </c>
      <c r="B47" s="9" t="s">
        <v>95</v>
      </c>
      <c r="C47" s="9">
        <v>29</v>
      </c>
      <c r="D47" s="9">
        <v>1</v>
      </c>
      <c r="E47" s="9">
        <v>110</v>
      </c>
      <c r="F47" s="9">
        <f t="shared" si="0"/>
        <v>140</v>
      </c>
      <c r="H47" s="10">
        <v>82.42</v>
      </c>
      <c r="I47" s="10">
        <v>80</v>
      </c>
      <c r="J47" s="10">
        <v>93.91</v>
      </c>
      <c r="K47" s="10">
        <v>91.3</v>
      </c>
      <c r="M47" s="10">
        <v>110.47122999999999</v>
      </c>
      <c r="N47" s="10">
        <v>126.33722999999999</v>
      </c>
      <c r="O47" s="10">
        <v>122.75013</v>
      </c>
      <c r="Q47" s="21">
        <v>1371.1</v>
      </c>
      <c r="R47" s="21">
        <v>1310.92</v>
      </c>
      <c r="S47" s="21">
        <v>1324.53</v>
      </c>
    </row>
    <row r="48" spans="1:19" x14ac:dyDescent="0.2">
      <c r="A48" s="9" t="s">
        <v>96</v>
      </c>
      <c r="B48" s="9" t="s">
        <v>97</v>
      </c>
      <c r="C48" s="9">
        <v>6</v>
      </c>
      <c r="D48" s="9">
        <v>0</v>
      </c>
      <c r="E48" s="9">
        <v>36</v>
      </c>
      <c r="F48" s="9">
        <f t="shared" si="0"/>
        <v>42</v>
      </c>
      <c r="H48" s="10">
        <v>94.6</v>
      </c>
      <c r="I48" s="10">
        <v>0</v>
      </c>
      <c r="J48" s="10">
        <v>91.66</v>
      </c>
      <c r="K48" s="10">
        <v>92.06</v>
      </c>
      <c r="M48" s="10">
        <v>82.32</v>
      </c>
      <c r="N48" s="10">
        <v>85.956369999999993</v>
      </c>
      <c r="O48" s="10">
        <v>85.464970000000008</v>
      </c>
      <c r="Q48" s="21">
        <v>1024.96</v>
      </c>
      <c r="R48" s="21">
        <v>985.11</v>
      </c>
      <c r="S48" s="21">
        <v>990.5</v>
      </c>
    </row>
    <row r="49" spans="1:19" x14ac:dyDescent="0.2">
      <c r="A49" s="9" t="s">
        <v>98</v>
      </c>
      <c r="B49" s="9" t="s">
        <v>99</v>
      </c>
      <c r="C49" s="9">
        <v>13</v>
      </c>
      <c r="D49" s="9">
        <v>0</v>
      </c>
      <c r="E49" s="9">
        <v>171</v>
      </c>
      <c r="F49" s="9">
        <f t="shared" si="0"/>
        <v>184</v>
      </c>
      <c r="H49" s="10">
        <v>83</v>
      </c>
      <c r="I49" s="10">
        <v>0</v>
      </c>
      <c r="J49" s="10">
        <v>126.91</v>
      </c>
      <c r="K49" s="10">
        <v>123.68</v>
      </c>
      <c r="M49" s="10">
        <v>229.01923000000002</v>
      </c>
      <c r="N49" s="10">
        <v>208.97820999999999</v>
      </c>
      <c r="O49" s="10">
        <v>210.48417999999998</v>
      </c>
      <c r="Q49" s="21">
        <v>2808.4</v>
      </c>
      <c r="R49" s="21">
        <v>2022.9</v>
      </c>
      <c r="S49" s="21">
        <v>2081.9299999999998</v>
      </c>
    </row>
    <row r="50" spans="1:19" x14ac:dyDescent="0.2">
      <c r="A50" s="9" t="s">
        <v>100</v>
      </c>
      <c r="B50" s="9" t="s">
        <v>101</v>
      </c>
      <c r="C50" s="9">
        <v>41</v>
      </c>
      <c r="D50" s="9">
        <v>0</v>
      </c>
      <c r="E50" s="9">
        <v>68</v>
      </c>
      <c r="F50" s="9">
        <f t="shared" si="0"/>
        <v>109</v>
      </c>
      <c r="H50" s="10">
        <v>104.24</v>
      </c>
      <c r="I50" s="10">
        <v>0</v>
      </c>
      <c r="J50" s="10">
        <v>109.82</v>
      </c>
      <c r="K50" s="10">
        <v>107.68</v>
      </c>
      <c r="M50" s="10">
        <v>108.54545</v>
      </c>
      <c r="N50" s="10">
        <v>127.34739</v>
      </c>
      <c r="O50" s="10">
        <v>119.82661</v>
      </c>
      <c r="Q50" s="21">
        <v>1240.7</v>
      </c>
      <c r="R50" s="21">
        <v>1157.99</v>
      </c>
      <c r="S50" s="21">
        <v>1191.07</v>
      </c>
    </row>
    <row r="51" spans="1:19" x14ac:dyDescent="0.2">
      <c r="A51" s="9" t="s">
        <v>102</v>
      </c>
      <c r="B51" s="9" t="s">
        <v>103</v>
      </c>
      <c r="C51" s="9">
        <v>23</v>
      </c>
      <c r="D51" s="9">
        <v>0</v>
      </c>
      <c r="E51" s="9">
        <v>270</v>
      </c>
      <c r="F51" s="9">
        <f t="shared" si="0"/>
        <v>293</v>
      </c>
      <c r="H51" s="10">
        <v>183</v>
      </c>
      <c r="I51" s="10">
        <v>0</v>
      </c>
      <c r="J51" s="10">
        <v>126.9</v>
      </c>
      <c r="K51" s="10">
        <v>130.47999999999999</v>
      </c>
      <c r="M51" s="10">
        <v>249.74913000000001</v>
      </c>
      <c r="N51" s="10">
        <v>205.35898</v>
      </c>
      <c r="O51" s="10">
        <v>208.21135999999998</v>
      </c>
      <c r="Q51" s="21">
        <v>1622.21</v>
      </c>
      <c r="R51" s="21">
        <v>1864</v>
      </c>
      <c r="S51" s="21">
        <v>1848.46</v>
      </c>
    </row>
    <row r="52" spans="1:19" x14ac:dyDescent="0.2">
      <c r="A52" s="9" t="s">
        <v>104</v>
      </c>
      <c r="B52" s="9" t="s">
        <v>105</v>
      </c>
      <c r="C52" s="9">
        <v>0</v>
      </c>
      <c r="D52" s="9">
        <v>0</v>
      </c>
      <c r="E52" s="9">
        <v>119</v>
      </c>
      <c r="F52" s="9">
        <f t="shared" si="0"/>
        <v>119</v>
      </c>
      <c r="H52" s="10">
        <v>0</v>
      </c>
      <c r="I52" s="10">
        <v>0</v>
      </c>
      <c r="J52" s="10">
        <v>129.18</v>
      </c>
      <c r="K52" s="10">
        <v>129.18</v>
      </c>
      <c r="M52" s="10">
        <v>0</v>
      </c>
      <c r="N52" s="10">
        <v>241.80798999999999</v>
      </c>
      <c r="O52" s="10">
        <v>241.80798999999999</v>
      </c>
      <c r="Q52" s="21">
        <v>0</v>
      </c>
      <c r="R52" s="21">
        <v>2068.4699999999998</v>
      </c>
      <c r="S52" s="21">
        <v>2068.4699999999998</v>
      </c>
    </row>
    <row r="53" spans="1:19" x14ac:dyDescent="0.2">
      <c r="A53" s="9" t="s">
        <v>106</v>
      </c>
      <c r="B53" s="9" t="s">
        <v>107</v>
      </c>
      <c r="C53" s="9">
        <v>53</v>
      </c>
      <c r="D53" s="9">
        <v>0</v>
      </c>
      <c r="E53" s="9">
        <v>619</v>
      </c>
      <c r="F53" s="9">
        <f t="shared" si="0"/>
        <v>672</v>
      </c>
      <c r="H53" s="10">
        <v>76.8</v>
      </c>
      <c r="I53" s="10">
        <v>0</v>
      </c>
      <c r="J53" s="10">
        <v>88.48</v>
      </c>
      <c r="K53" s="10">
        <v>87.53</v>
      </c>
      <c r="M53" s="10">
        <v>308.76803000000001</v>
      </c>
      <c r="N53" s="10">
        <v>292.47487000000001</v>
      </c>
      <c r="O53" s="10">
        <v>293.83946000000003</v>
      </c>
      <c r="Q53" s="21">
        <v>3981.8</v>
      </c>
      <c r="R53" s="21">
        <v>3479.81</v>
      </c>
      <c r="S53" s="21">
        <v>3521.85</v>
      </c>
    </row>
    <row r="54" spans="1:19" x14ac:dyDescent="0.2">
      <c r="A54" s="9" t="s">
        <v>108</v>
      </c>
      <c r="B54" s="9" t="s">
        <v>109</v>
      </c>
      <c r="C54" s="9">
        <v>23</v>
      </c>
      <c r="D54" s="9">
        <v>0</v>
      </c>
      <c r="E54" s="9">
        <v>476</v>
      </c>
      <c r="F54" s="9">
        <f t="shared" si="0"/>
        <v>499</v>
      </c>
      <c r="H54" s="10">
        <v>114.79</v>
      </c>
      <c r="I54" s="10">
        <v>0</v>
      </c>
      <c r="J54" s="10">
        <v>80.260000000000005</v>
      </c>
      <c r="K54" s="10">
        <v>81.8</v>
      </c>
      <c r="M54" s="10">
        <v>226.45267999999999</v>
      </c>
      <c r="N54" s="10">
        <v>166.99999</v>
      </c>
      <c r="O54" s="10">
        <v>169.73510000000002</v>
      </c>
      <c r="Q54" s="21">
        <v>1967.98</v>
      </c>
      <c r="R54" s="21">
        <v>2092</v>
      </c>
      <c r="S54" s="21">
        <v>2086.29</v>
      </c>
    </row>
    <row r="55" spans="1:19" x14ac:dyDescent="0.2">
      <c r="A55" s="9" t="s">
        <v>110</v>
      </c>
      <c r="B55" s="9" t="s">
        <v>111</v>
      </c>
      <c r="C55" s="9">
        <v>8</v>
      </c>
      <c r="D55" s="9">
        <v>0</v>
      </c>
      <c r="E55" s="9">
        <v>533</v>
      </c>
      <c r="F55" s="9">
        <f t="shared" si="0"/>
        <v>541</v>
      </c>
      <c r="H55" s="10">
        <v>75.569999999999993</v>
      </c>
      <c r="I55" s="10">
        <v>0</v>
      </c>
      <c r="J55" s="10">
        <v>96.6</v>
      </c>
      <c r="K55" s="10">
        <v>96.31</v>
      </c>
      <c r="M55" s="10">
        <v>164</v>
      </c>
      <c r="N55" s="10">
        <v>244.25085000000001</v>
      </c>
      <c r="O55" s="10">
        <v>243.14285000000001</v>
      </c>
      <c r="Q55" s="21">
        <v>2167.21</v>
      </c>
      <c r="R55" s="21">
        <v>2544.85</v>
      </c>
      <c r="S55" s="21">
        <v>2539.64</v>
      </c>
    </row>
    <row r="56" spans="1:19" x14ac:dyDescent="0.2">
      <c r="A56" s="9" t="s">
        <v>112</v>
      </c>
      <c r="B56" s="9" t="s">
        <v>113</v>
      </c>
      <c r="C56" s="9">
        <v>9</v>
      </c>
      <c r="D56" s="9">
        <v>0</v>
      </c>
      <c r="E56" s="9">
        <v>29</v>
      </c>
      <c r="F56" s="9">
        <f t="shared" si="0"/>
        <v>38</v>
      </c>
      <c r="H56" s="10">
        <v>86.14</v>
      </c>
      <c r="I56" s="10">
        <v>0</v>
      </c>
      <c r="J56" s="10">
        <v>115.22</v>
      </c>
      <c r="K56" s="10">
        <v>109.23</v>
      </c>
      <c r="M56" s="10">
        <v>125.08871000000001</v>
      </c>
      <c r="N56" s="10">
        <v>174.10844</v>
      </c>
      <c r="O56" s="10">
        <v>163.38536999999999</v>
      </c>
      <c r="Q56" s="21">
        <v>1751.57</v>
      </c>
      <c r="R56" s="21">
        <v>1492.36</v>
      </c>
      <c r="S56" s="21">
        <v>1549.06</v>
      </c>
    </row>
    <row r="57" spans="1:19" x14ac:dyDescent="0.2">
      <c r="A57" s="9" t="s">
        <v>114</v>
      </c>
      <c r="B57" s="9" t="s">
        <v>115</v>
      </c>
      <c r="C57" s="9">
        <v>26</v>
      </c>
      <c r="D57" s="9">
        <v>0</v>
      </c>
      <c r="E57" s="9">
        <v>43</v>
      </c>
      <c r="F57" s="9">
        <f t="shared" si="0"/>
        <v>69</v>
      </c>
      <c r="H57" s="10">
        <v>91.19</v>
      </c>
      <c r="I57" s="10">
        <v>0</v>
      </c>
      <c r="J57" s="10">
        <v>85.25</v>
      </c>
      <c r="K57" s="10">
        <v>87.59</v>
      </c>
      <c r="M57" s="10">
        <v>120.20792</v>
      </c>
      <c r="N57" s="10">
        <v>126.83263000000001</v>
      </c>
      <c r="O57" s="10">
        <v>124.2229</v>
      </c>
      <c r="Q57" s="21">
        <v>1415.8</v>
      </c>
      <c r="R57" s="21">
        <v>1523.37</v>
      </c>
      <c r="S57" s="21">
        <v>1480.99</v>
      </c>
    </row>
    <row r="58" spans="1:19" x14ac:dyDescent="0.2">
      <c r="A58" s="9" t="s">
        <v>116</v>
      </c>
      <c r="B58" s="9" t="s">
        <v>117</v>
      </c>
      <c r="C58" s="9">
        <v>21</v>
      </c>
      <c r="D58" s="9">
        <v>1</v>
      </c>
      <c r="E58" s="9">
        <v>424</v>
      </c>
      <c r="F58" s="9">
        <f t="shared" si="0"/>
        <v>446</v>
      </c>
      <c r="H58" s="10">
        <v>111</v>
      </c>
      <c r="I58" s="10">
        <v>97</v>
      </c>
      <c r="J58" s="10">
        <v>97.3</v>
      </c>
      <c r="K58" s="10">
        <v>97.93</v>
      </c>
      <c r="M58" s="10">
        <v>299.05996999999996</v>
      </c>
      <c r="N58" s="10">
        <v>268.15917999999999</v>
      </c>
      <c r="O58" s="10">
        <v>269.75291999999996</v>
      </c>
      <c r="Q58" s="21">
        <v>2722.3</v>
      </c>
      <c r="R58" s="21">
        <v>2669.57</v>
      </c>
      <c r="S58" s="21">
        <v>2672.29</v>
      </c>
    </row>
    <row r="59" spans="1:19" x14ac:dyDescent="0.2">
      <c r="A59" s="9" t="s">
        <v>118</v>
      </c>
      <c r="B59" s="9" t="s">
        <v>119</v>
      </c>
      <c r="C59" s="9">
        <v>14</v>
      </c>
      <c r="D59" s="9">
        <v>0</v>
      </c>
      <c r="E59" s="9">
        <v>130</v>
      </c>
      <c r="F59" s="9">
        <f t="shared" si="0"/>
        <v>144</v>
      </c>
      <c r="H59" s="10">
        <v>142.41999999999999</v>
      </c>
      <c r="I59" s="10">
        <v>0</v>
      </c>
      <c r="J59" s="10">
        <v>159.46</v>
      </c>
      <c r="K59" s="10">
        <v>157.77000000000001</v>
      </c>
      <c r="M59" s="10">
        <v>224.02792000000002</v>
      </c>
      <c r="N59" s="10">
        <v>238.19154999999998</v>
      </c>
      <c r="O59" s="10">
        <v>236.78689000000003</v>
      </c>
      <c r="Q59" s="21">
        <v>1576.99</v>
      </c>
      <c r="R59" s="21">
        <v>1686.78</v>
      </c>
      <c r="S59" s="21">
        <v>1675.89</v>
      </c>
    </row>
    <row r="60" spans="1:19" x14ac:dyDescent="0.2">
      <c r="A60" s="9" t="s">
        <v>120</v>
      </c>
      <c r="B60" s="9" t="s">
        <v>121</v>
      </c>
      <c r="C60" s="9">
        <v>8</v>
      </c>
      <c r="D60" s="9">
        <v>1</v>
      </c>
      <c r="E60" s="9">
        <v>44</v>
      </c>
      <c r="F60" s="9">
        <f t="shared" si="0"/>
        <v>53</v>
      </c>
      <c r="H60" s="10">
        <v>103.86</v>
      </c>
      <c r="I60" s="10">
        <v>82</v>
      </c>
      <c r="J60" s="10">
        <v>120.48</v>
      </c>
      <c r="K60" s="10">
        <v>116.7</v>
      </c>
      <c r="M60" s="10">
        <v>80.900000000000006</v>
      </c>
      <c r="N60" s="10">
        <v>96.479749999999996</v>
      </c>
      <c r="O60" s="10">
        <v>93.174949999999995</v>
      </c>
      <c r="Q60" s="21">
        <v>785.51</v>
      </c>
      <c r="R60" s="21">
        <v>780.19</v>
      </c>
      <c r="S60" s="21">
        <v>781.32</v>
      </c>
    </row>
    <row r="61" spans="1:19" x14ac:dyDescent="0.2">
      <c r="A61" s="9" t="s">
        <v>122</v>
      </c>
      <c r="B61" s="9" t="s">
        <v>123</v>
      </c>
      <c r="C61" s="9">
        <v>14</v>
      </c>
      <c r="D61" s="9">
        <v>1</v>
      </c>
      <c r="E61" s="9">
        <v>74</v>
      </c>
      <c r="F61" s="9">
        <f t="shared" si="0"/>
        <v>89</v>
      </c>
      <c r="H61" s="10">
        <v>121.23</v>
      </c>
      <c r="I61" s="10">
        <v>0</v>
      </c>
      <c r="J61" s="10">
        <v>106.71</v>
      </c>
      <c r="K61" s="10">
        <v>109.33</v>
      </c>
      <c r="M61" s="10">
        <v>78.805460000000011</v>
      </c>
      <c r="N61" s="10">
        <v>69.72775</v>
      </c>
      <c r="O61" s="10">
        <v>71.463189999999997</v>
      </c>
      <c r="Q61" s="21">
        <v>644.79999999999995</v>
      </c>
      <c r="R61" s="21">
        <v>704.65</v>
      </c>
      <c r="S61" s="21">
        <v>693.21</v>
      </c>
    </row>
    <row r="62" spans="1:19" x14ac:dyDescent="0.2">
      <c r="A62" s="9" t="s">
        <v>124</v>
      </c>
      <c r="B62" s="9" t="s">
        <v>125</v>
      </c>
      <c r="C62" s="9">
        <v>38</v>
      </c>
      <c r="D62" s="9">
        <v>0</v>
      </c>
      <c r="E62" s="9">
        <v>132</v>
      </c>
      <c r="F62" s="9">
        <f t="shared" si="0"/>
        <v>170</v>
      </c>
      <c r="H62" s="10">
        <v>192</v>
      </c>
      <c r="I62" s="10">
        <v>0</v>
      </c>
      <c r="J62" s="10">
        <v>150.34</v>
      </c>
      <c r="K62" s="10">
        <v>159.72999999999999</v>
      </c>
      <c r="M62" s="10">
        <v>218.65625</v>
      </c>
      <c r="N62" s="10">
        <v>219.04396</v>
      </c>
      <c r="O62" s="10">
        <v>218.95597000000001</v>
      </c>
      <c r="Q62" s="21">
        <v>1350.98</v>
      </c>
      <c r="R62" s="21">
        <v>1693.17</v>
      </c>
      <c r="S62" s="21">
        <v>1615.51</v>
      </c>
    </row>
    <row r="63" spans="1:19" x14ac:dyDescent="0.2">
      <c r="A63" s="9" t="s">
        <v>126</v>
      </c>
      <c r="B63" s="9" t="s">
        <v>127</v>
      </c>
      <c r="C63" s="9">
        <v>8</v>
      </c>
      <c r="D63" s="9">
        <v>0</v>
      </c>
      <c r="E63" s="9">
        <v>628</v>
      </c>
      <c r="F63" s="9">
        <f t="shared" si="0"/>
        <v>636</v>
      </c>
      <c r="H63" s="10">
        <v>81.75</v>
      </c>
      <c r="I63" s="10">
        <v>0</v>
      </c>
      <c r="J63" s="10">
        <v>64.13</v>
      </c>
      <c r="K63" s="10">
        <v>64.25</v>
      </c>
      <c r="M63" s="10">
        <v>256.75</v>
      </c>
      <c r="N63" s="10">
        <v>180.97824</v>
      </c>
      <c r="O63" s="10">
        <v>181.85168999999999</v>
      </c>
      <c r="Q63" s="21">
        <v>3138.74</v>
      </c>
      <c r="R63" s="21">
        <v>2772.11</v>
      </c>
      <c r="S63" s="21">
        <v>2776.34</v>
      </c>
    </row>
    <row r="64" spans="1:19" x14ac:dyDescent="0.2">
      <c r="A64" s="9" t="s">
        <v>128</v>
      </c>
      <c r="B64" s="9" t="s">
        <v>129</v>
      </c>
      <c r="C64" s="9">
        <v>12</v>
      </c>
      <c r="D64" s="9">
        <v>0</v>
      </c>
      <c r="E64" s="9">
        <v>297</v>
      </c>
      <c r="F64" s="9">
        <f t="shared" si="0"/>
        <v>309</v>
      </c>
      <c r="H64" s="10">
        <v>100.9</v>
      </c>
      <c r="I64" s="10">
        <v>0</v>
      </c>
      <c r="J64" s="10">
        <v>88.13</v>
      </c>
      <c r="K64" s="10">
        <v>88.58</v>
      </c>
      <c r="M64" s="10">
        <v>146.28008</v>
      </c>
      <c r="N64" s="10">
        <v>157.07155</v>
      </c>
      <c r="O64" s="10">
        <v>156.68751</v>
      </c>
      <c r="Q64" s="21">
        <v>1671.75</v>
      </c>
      <c r="R64" s="21">
        <v>1905.47</v>
      </c>
      <c r="S64" s="21">
        <v>1897.15</v>
      </c>
    </row>
    <row r="65" spans="1:19" x14ac:dyDescent="0.2">
      <c r="A65" s="9" t="s">
        <v>130</v>
      </c>
      <c r="B65" s="9" t="s">
        <v>131</v>
      </c>
      <c r="C65" s="9">
        <v>45</v>
      </c>
      <c r="D65" s="9">
        <v>1</v>
      </c>
      <c r="E65" s="9">
        <v>318</v>
      </c>
      <c r="F65" s="9">
        <f t="shared" si="0"/>
        <v>364</v>
      </c>
      <c r="H65" s="10">
        <v>96.81</v>
      </c>
      <c r="I65" s="10">
        <v>61</v>
      </c>
      <c r="J65" s="10">
        <v>88.18</v>
      </c>
      <c r="K65" s="10">
        <v>88.93</v>
      </c>
      <c r="M65" s="10">
        <v>110.768</v>
      </c>
      <c r="N65" s="10">
        <v>129.50312</v>
      </c>
      <c r="O65" s="10">
        <v>127.61782000000001</v>
      </c>
      <c r="Q65" s="21">
        <v>1281.71</v>
      </c>
      <c r="R65" s="21">
        <v>1586.11</v>
      </c>
      <c r="S65" s="21">
        <v>1555.48</v>
      </c>
    </row>
    <row r="66" spans="1:19" x14ac:dyDescent="0.2">
      <c r="A66" s="9" t="s">
        <v>132</v>
      </c>
      <c r="B66" s="9" t="s">
        <v>133</v>
      </c>
      <c r="C66" s="9">
        <v>24</v>
      </c>
      <c r="D66" s="9">
        <v>0</v>
      </c>
      <c r="E66" s="9">
        <v>156</v>
      </c>
      <c r="F66" s="9">
        <f t="shared" si="0"/>
        <v>180</v>
      </c>
      <c r="H66" s="10">
        <v>82.29</v>
      </c>
      <c r="I66" s="10">
        <v>0</v>
      </c>
      <c r="J66" s="10">
        <v>82.2</v>
      </c>
      <c r="K66" s="10">
        <v>82.21</v>
      </c>
      <c r="M66" s="10">
        <v>66.56938000000001</v>
      </c>
      <c r="N66" s="10">
        <v>69.951990000000009</v>
      </c>
      <c r="O66" s="10">
        <v>69.652850000000001</v>
      </c>
      <c r="Q66" s="21">
        <v>769.54</v>
      </c>
      <c r="R66" s="21">
        <v>843.77</v>
      </c>
      <c r="S66" s="21">
        <v>837.21</v>
      </c>
    </row>
    <row r="67" spans="1:19" x14ac:dyDescent="0.2">
      <c r="A67" s="9" t="s">
        <v>134</v>
      </c>
      <c r="B67" s="9" t="s">
        <v>135</v>
      </c>
      <c r="C67" s="9">
        <v>14</v>
      </c>
      <c r="D67" s="9">
        <v>0</v>
      </c>
      <c r="E67" s="9">
        <v>63</v>
      </c>
      <c r="F67" s="9">
        <f t="shared" si="0"/>
        <v>77</v>
      </c>
      <c r="H67" s="10">
        <v>141.30000000000001</v>
      </c>
      <c r="I67" s="10">
        <v>0</v>
      </c>
      <c r="J67" s="10">
        <v>149.61000000000001</v>
      </c>
      <c r="K67" s="10">
        <v>147.97999999999999</v>
      </c>
      <c r="M67" s="10">
        <v>171.41766000000001</v>
      </c>
      <c r="N67" s="10">
        <v>192.39636999999999</v>
      </c>
      <c r="O67" s="10">
        <v>188.28289999999998</v>
      </c>
      <c r="Q67" s="21">
        <v>1468.24</v>
      </c>
      <c r="R67" s="21">
        <v>1536.61</v>
      </c>
      <c r="S67" s="21">
        <v>1523.2</v>
      </c>
    </row>
    <row r="68" spans="1:19" x14ac:dyDescent="0.2">
      <c r="A68" s="9" t="s">
        <v>136</v>
      </c>
      <c r="B68" s="9" t="s">
        <v>137</v>
      </c>
      <c r="C68" s="9">
        <v>17</v>
      </c>
      <c r="D68" s="9">
        <v>0</v>
      </c>
      <c r="E68" s="9">
        <v>361</v>
      </c>
      <c r="F68" s="9">
        <f t="shared" si="0"/>
        <v>378</v>
      </c>
      <c r="H68" s="10">
        <v>105.47</v>
      </c>
      <c r="I68" s="10">
        <v>0</v>
      </c>
      <c r="J68" s="10">
        <v>88.82</v>
      </c>
      <c r="K68" s="10">
        <v>89.6</v>
      </c>
      <c r="M68" s="10">
        <v>214.11250000000001</v>
      </c>
      <c r="N68" s="10">
        <v>178.09585999999999</v>
      </c>
      <c r="O68" s="10">
        <v>179.7662</v>
      </c>
      <c r="Q68" s="21">
        <v>1993.47</v>
      </c>
      <c r="R68" s="21">
        <v>2121.85</v>
      </c>
      <c r="S68" s="21">
        <v>2115.9</v>
      </c>
    </row>
    <row r="69" spans="1:19" x14ac:dyDescent="0.2">
      <c r="A69" s="9" t="s">
        <v>138</v>
      </c>
      <c r="B69" s="9" t="s">
        <v>139</v>
      </c>
      <c r="C69" s="9">
        <v>0</v>
      </c>
      <c r="D69" s="9">
        <v>0</v>
      </c>
      <c r="E69" s="9">
        <v>261</v>
      </c>
      <c r="F69" s="9">
        <f t="shared" si="0"/>
        <v>261</v>
      </c>
      <c r="H69" s="10">
        <v>0</v>
      </c>
      <c r="I69" s="10">
        <v>0</v>
      </c>
      <c r="J69" s="10">
        <v>99.5</v>
      </c>
      <c r="K69" s="10">
        <v>99.5</v>
      </c>
      <c r="M69" s="10">
        <v>0</v>
      </c>
      <c r="N69" s="10">
        <v>142.17604</v>
      </c>
      <c r="O69" s="10">
        <v>142.17604</v>
      </c>
      <c r="Q69" s="21">
        <v>0</v>
      </c>
      <c r="R69" s="21">
        <v>1594.5</v>
      </c>
      <c r="S69" s="21">
        <v>1594.5</v>
      </c>
    </row>
    <row r="70" spans="1:19" x14ac:dyDescent="0.2">
      <c r="A70" s="9" t="s">
        <v>140</v>
      </c>
      <c r="B70" s="9" t="s">
        <v>141</v>
      </c>
      <c r="C70" s="9">
        <v>30</v>
      </c>
      <c r="D70" s="9">
        <v>4</v>
      </c>
      <c r="E70" s="9">
        <v>237</v>
      </c>
      <c r="F70" s="9">
        <f t="shared" si="0"/>
        <v>271</v>
      </c>
      <c r="H70" s="10">
        <v>83.21</v>
      </c>
      <c r="I70" s="10">
        <v>97.67</v>
      </c>
      <c r="J70" s="10">
        <v>91.95</v>
      </c>
      <c r="K70" s="10">
        <v>91</v>
      </c>
      <c r="M70" s="10">
        <v>328.78676000000002</v>
      </c>
      <c r="N70" s="10">
        <v>263.91381999999999</v>
      </c>
      <c r="O70" s="10">
        <v>272.02294000000001</v>
      </c>
      <c r="Q70" s="21">
        <v>4097.41</v>
      </c>
      <c r="R70" s="21">
        <v>2868.57</v>
      </c>
      <c r="S70" s="21">
        <v>3022.17</v>
      </c>
    </row>
    <row r="71" spans="1:19" x14ac:dyDescent="0.2">
      <c r="A71" s="9" t="s">
        <v>142</v>
      </c>
      <c r="B71" s="9" t="s">
        <v>143</v>
      </c>
      <c r="C71" s="9">
        <v>24</v>
      </c>
      <c r="D71" s="9">
        <v>0</v>
      </c>
      <c r="E71" s="9">
        <v>423</v>
      </c>
      <c r="F71" s="9">
        <f t="shared" si="0"/>
        <v>447</v>
      </c>
      <c r="H71" s="10">
        <v>100.47</v>
      </c>
      <c r="I71" s="10">
        <v>0</v>
      </c>
      <c r="J71" s="10">
        <v>91.28</v>
      </c>
      <c r="K71" s="10">
        <v>91.74</v>
      </c>
      <c r="M71" s="10">
        <v>121.73513</v>
      </c>
      <c r="N71" s="10">
        <v>96.974689999999995</v>
      </c>
      <c r="O71" s="10">
        <v>98.314999999999998</v>
      </c>
      <c r="Q71" s="21">
        <v>1375.98</v>
      </c>
      <c r="R71" s="21">
        <v>1102.8699999999999</v>
      </c>
      <c r="S71" s="21">
        <v>1117.6500000000001</v>
      </c>
    </row>
    <row r="72" spans="1:19" x14ac:dyDescent="0.2">
      <c r="A72" s="9" t="s">
        <v>144</v>
      </c>
      <c r="B72" s="9" t="s">
        <v>145</v>
      </c>
      <c r="C72" s="9">
        <v>58</v>
      </c>
      <c r="D72" s="9">
        <v>6</v>
      </c>
      <c r="E72" s="9">
        <v>113</v>
      </c>
      <c r="F72" s="9">
        <f t="shared" ref="F72:F135" si="1">SUM(C72:E72)</f>
        <v>177</v>
      </c>
      <c r="H72" s="10">
        <v>97.62</v>
      </c>
      <c r="I72" s="10">
        <v>81.67</v>
      </c>
      <c r="J72" s="10">
        <v>92.84</v>
      </c>
      <c r="K72" s="10">
        <v>93.37</v>
      </c>
      <c r="M72" s="10">
        <v>182.11698000000001</v>
      </c>
      <c r="N72" s="10">
        <v>186.83092000000002</v>
      </c>
      <c r="O72" s="10">
        <v>185.73729</v>
      </c>
      <c r="Q72" s="21">
        <v>2023.75</v>
      </c>
      <c r="R72" s="21">
        <v>2143.16</v>
      </c>
      <c r="S72" s="21">
        <v>2115.46</v>
      </c>
    </row>
    <row r="73" spans="1:19" x14ac:dyDescent="0.2">
      <c r="A73" s="9" t="s">
        <v>146</v>
      </c>
      <c r="B73" s="9" t="s">
        <v>147</v>
      </c>
      <c r="C73" s="9">
        <v>42</v>
      </c>
      <c r="D73" s="9">
        <v>0</v>
      </c>
      <c r="E73" s="9">
        <v>107</v>
      </c>
      <c r="F73" s="9">
        <f t="shared" si="1"/>
        <v>149</v>
      </c>
      <c r="H73" s="10">
        <v>110</v>
      </c>
      <c r="I73" s="10">
        <v>0</v>
      </c>
      <c r="J73" s="10">
        <v>120.5</v>
      </c>
      <c r="K73" s="10">
        <v>117.58</v>
      </c>
      <c r="M73" s="10">
        <v>200.31421</v>
      </c>
      <c r="N73" s="10">
        <v>212.54426999999998</v>
      </c>
      <c r="O73" s="10">
        <v>209.2088</v>
      </c>
      <c r="Q73" s="21">
        <v>1921.86</v>
      </c>
      <c r="R73" s="21">
        <v>1898.85</v>
      </c>
      <c r="S73" s="21">
        <v>1905.13</v>
      </c>
    </row>
    <row r="74" spans="1:19" x14ac:dyDescent="0.2">
      <c r="A74" s="9" t="s">
        <v>148</v>
      </c>
      <c r="B74" s="9" t="s">
        <v>149</v>
      </c>
      <c r="C74" s="9">
        <v>84</v>
      </c>
      <c r="D74" s="9">
        <v>2</v>
      </c>
      <c r="E74" s="9">
        <v>366</v>
      </c>
      <c r="F74" s="9">
        <f t="shared" si="1"/>
        <v>452</v>
      </c>
      <c r="H74" s="10">
        <v>110.41</v>
      </c>
      <c r="I74" s="10">
        <v>83.5</v>
      </c>
      <c r="J74" s="10">
        <v>85.37</v>
      </c>
      <c r="K74" s="10">
        <v>89.89</v>
      </c>
      <c r="M74" s="10">
        <v>383.97318999999999</v>
      </c>
      <c r="N74" s="10">
        <v>264.51168000000001</v>
      </c>
      <c r="O74" s="10">
        <v>287.43864000000002</v>
      </c>
      <c r="Q74" s="21">
        <v>3178.9</v>
      </c>
      <c r="R74" s="21">
        <v>2970.07</v>
      </c>
      <c r="S74" s="21">
        <v>3010.15</v>
      </c>
    </row>
    <row r="75" spans="1:19" x14ac:dyDescent="0.2">
      <c r="A75" s="9" t="s">
        <v>150</v>
      </c>
      <c r="B75" s="9" t="s">
        <v>151</v>
      </c>
      <c r="C75" s="9">
        <v>2</v>
      </c>
      <c r="D75" s="9">
        <v>0</v>
      </c>
      <c r="E75" s="9">
        <v>65</v>
      </c>
      <c r="F75" s="9">
        <f t="shared" si="1"/>
        <v>67</v>
      </c>
      <c r="H75" s="10">
        <v>87.5</v>
      </c>
      <c r="I75" s="10">
        <v>0</v>
      </c>
      <c r="J75" s="10">
        <v>105.28</v>
      </c>
      <c r="K75" s="10">
        <v>104.69</v>
      </c>
      <c r="M75" s="10">
        <v>0</v>
      </c>
      <c r="N75" s="10">
        <v>139.73242999999999</v>
      </c>
      <c r="O75" s="10">
        <v>139.32468</v>
      </c>
      <c r="Q75" s="21">
        <v>0</v>
      </c>
      <c r="R75" s="21">
        <v>1375.94</v>
      </c>
      <c r="S75" s="21">
        <v>1378.69</v>
      </c>
    </row>
    <row r="76" spans="1:19" x14ac:dyDescent="0.2">
      <c r="A76" s="9" t="s">
        <v>152</v>
      </c>
      <c r="B76" s="9" t="s">
        <v>153</v>
      </c>
      <c r="C76" s="9">
        <v>238</v>
      </c>
      <c r="D76" s="9">
        <v>30</v>
      </c>
      <c r="E76" s="9">
        <v>732</v>
      </c>
      <c r="F76" s="9">
        <f t="shared" si="1"/>
        <v>1000</v>
      </c>
      <c r="H76" s="10">
        <v>87.83</v>
      </c>
      <c r="I76" s="10">
        <v>75.95</v>
      </c>
      <c r="J76" s="10">
        <v>87.61</v>
      </c>
      <c r="K76" s="10">
        <v>87.38</v>
      </c>
      <c r="M76" s="10">
        <v>174.61726999999999</v>
      </c>
      <c r="N76" s="10">
        <v>162.47019</v>
      </c>
      <c r="O76" s="10">
        <v>165.77749</v>
      </c>
      <c r="Q76" s="21">
        <v>2007.12</v>
      </c>
      <c r="R76" s="21">
        <v>1880.28</v>
      </c>
      <c r="S76" s="21">
        <v>1914.81</v>
      </c>
    </row>
    <row r="77" spans="1:19" x14ac:dyDescent="0.2">
      <c r="A77" s="9" t="s">
        <v>154</v>
      </c>
      <c r="B77" s="9" t="s">
        <v>155</v>
      </c>
      <c r="C77" s="9">
        <v>118</v>
      </c>
      <c r="D77" s="9">
        <v>4</v>
      </c>
      <c r="E77" s="9">
        <v>648</v>
      </c>
      <c r="F77" s="9">
        <f t="shared" si="1"/>
        <v>770</v>
      </c>
      <c r="H77" s="10">
        <v>106.88</v>
      </c>
      <c r="I77" s="10">
        <v>78.33</v>
      </c>
      <c r="J77" s="10">
        <v>84.64</v>
      </c>
      <c r="K77" s="10">
        <v>88.36</v>
      </c>
      <c r="M77" s="10">
        <v>247.14032999999998</v>
      </c>
      <c r="N77" s="10">
        <v>152.73464999999999</v>
      </c>
      <c r="O77" s="10">
        <v>169.79051000000001</v>
      </c>
      <c r="Q77" s="21">
        <v>2366.8200000000002</v>
      </c>
      <c r="R77" s="21">
        <v>1901.07</v>
      </c>
      <c r="S77" s="21">
        <v>1985.22</v>
      </c>
    </row>
    <row r="78" spans="1:19" x14ac:dyDescent="0.2">
      <c r="A78" s="9" t="s">
        <v>156</v>
      </c>
      <c r="B78" s="9" t="s">
        <v>157</v>
      </c>
      <c r="C78" s="9">
        <v>0</v>
      </c>
      <c r="D78" s="9">
        <v>2</v>
      </c>
      <c r="E78" s="9">
        <v>25</v>
      </c>
      <c r="F78" s="9">
        <f t="shared" si="1"/>
        <v>27</v>
      </c>
      <c r="H78" s="10">
        <v>0</v>
      </c>
      <c r="I78" s="10">
        <v>63.5</v>
      </c>
      <c r="J78" s="10">
        <v>138.83000000000001</v>
      </c>
      <c r="K78" s="10">
        <v>133.04</v>
      </c>
      <c r="M78" s="10">
        <v>0</v>
      </c>
      <c r="N78" s="10">
        <v>131.2424</v>
      </c>
      <c r="O78" s="10">
        <v>131.2424</v>
      </c>
      <c r="Q78" s="21">
        <v>0</v>
      </c>
      <c r="R78" s="21">
        <v>983.02</v>
      </c>
      <c r="S78" s="21">
        <v>983.02</v>
      </c>
    </row>
    <row r="79" spans="1:19" x14ac:dyDescent="0.2">
      <c r="A79" s="9" t="s">
        <v>158</v>
      </c>
      <c r="B79" s="9" t="s">
        <v>159</v>
      </c>
      <c r="C79" s="9">
        <v>418</v>
      </c>
      <c r="D79" s="9">
        <v>123</v>
      </c>
      <c r="E79" s="9">
        <v>2199</v>
      </c>
      <c r="F79" s="9">
        <f t="shared" si="1"/>
        <v>2740</v>
      </c>
      <c r="H79" s="10">
        <v>86.57</v>
      </c>
      <c r="I79" s="10">
        <v>90.58</v>
      </c>
      <c r="J79" s="10">
        <v>59.73</v>
      </c>
      <c r="K79" s="10">
        <v>65.099999999999994</v>
      </c>
      <c r="M79" s="10">
        <v>211.23099999999999</v>
      </c>
      <c r="N79" s="10">
        <v>142.17409000000001</v>
      </c>
      <c r="O79" s="10">
        <v>154.63115999999999</v>
      </c>
      <c r="Q79" s="21">
        <v>2445.46</v>
      </c>
      <c r="R79" s="21">
        <v>2424.1999999999998</v>
      </c>
      <c r="S79" s="21">
        <v>2428.04</v>
      </c>
    </row>
    <row r="80" spans="1:19" x14ac:dyDescent="0.2">
      <c r="A80" s="9" t="s">
        <v>160</v>
      </c>
      <c r="B80" s="9" t="s">
        <v>161</v>
      </c>
      <c r="C80" s="9">
        <v>70</v>
      </c>
      <c r="D80" s="9">
        <v>6</v>
      </c>
      <c r="E80" s="9">
        <v>349</v>
      </c>
      <c r="F80" s="9">
        <f t="shared" si="1"/>
        <v>425</v>
      </c>
      <c r="H80" s="10">
        <v>120.93</v>
      </c>
      <c r="I80" s="10">
        <v>85.83</v>
      </c>
      <c r="J80" s="10">
        <v>97.56</v>
      </c>
      <c r="K80" s="10">
        <v>101.5</v>
      </c>
      <c r="M80" s="10">
        <v>188.44005999999999</v>
      </c>
      <c r="N80" s="10">
        <v>110.1109</v>
      </c>
      <c r="O80" s="10">
        <v>125.06262</v>
      </c>
      <c r="Q80" s="21">
        <v>1567.13</v>
      </c>
      <c r="R80" s="21">
        <v>1140.9000000000001</v>
      </c>
      <c r="S80" s="21">
        <v>1222.26</v>
      </c>
    </row>
    <row r="81" spans="1:19" x14ac:dyDescent="0.2">
      <c r="A81" s="9" t="s">
        <v>162</v>
      </c>
      <c r="B81" s="9" t="s">
        <v>163</v>
      </c>
      <c r="C81" s="9">
        <v>15</v>
      </c>
      <c r="D81" s="9">
        <v>3</v>
      </c>
      <c r="E81" s="9">
        <v>86</v>
      </c>
      <c r="F81" s="9">
        <f t="shared" si="1"/>
        <v>104</v>
      </c>
      <c r="H81" s="10">
        <v>84.87</v>
      </c>
      <c r="I81" s="10">
        <v>56</v>
      </c>
      <c r="J81" s="10">
        <v>79.58</v>
      </c>
      <c r="K81" s="10">
        <v>79.94</v>
      </c>
      <c r="M81" s="10">
        <v>115.38963000000001</v>
      </c>
      <c r="N81" s="10">
        <v>139.72051000000002</v>
      </c>
      <c r="O81" s="10">
        <v>134.91835999999998</v>
      </c>
      <c r="Q81" s="21">
        <v>1678.07</v>
      </c>
      <c r="R81" s="21">
        <v>1755.83</v>
      </c>
      <c r="S81" s="21">
        <v>1740.48</v>
      </c>
    </row>
    <row r="82" spans="1:19" x14ac:dyDescent="0.2">
      <c r="A82" s="9" t="s">
        <v>164</v>
      </c>
      <c r="B82" s="9" t="s">
        <v>165</v>
      </c>
      <c r="C82" s="9">
        <v>38</v>
      </c>
      <c r="D82" s="9">
        <v>1</v>
      </c>
      <c r="E82" s="9">
        <v>55</v>
      </c>
      <c r="F82" s="9">
        <f t="shared" si="1"/>
        <v>94</v>
      </c>
      <c r="H82" s="10">
        <v>107.17</v>
      </c>
      <c r="I82" s="10">
        <v>82</v>
      </c>
      <c r="J82" s="10">
        <v>116.35</v>
      </c>
      <c r="K82" s="10">
        <v>112.26</v>
      </c>
      <c r="M82" s="10">
        <v>72.502970000000005</v>
      </c>
      <c r="N82" s="10">
        <v>118.62796</v>
      </c>
      <c r="O82" s="10">
        <v>99.635320000000007</v>
      </c>
      <c r="Q82" s="21">
        <v>731.21</v>
      </c>
      <c r="R82" s="21">
        <v>1075.8499999999999</v>
      </c>
      <c r="S82" s="21">
        <v>933.94</v>
      </c>
    </row>
    <row r="83" spans="1:19" x14ac:dyDescent="0.2">
      <c r="A83" s="9" t="s">
        <v>166</v>
      </c>
      <c r="B83" s="9" t="s">
        <v>167</v>
      </c>
      <c r="C83" s="9">
        <v>311</v>
      </c>
      <c r="D83" s="9">
        <v>104</v>
      </c>
      <c r="E83" s="9">
        <v>954</v>
      </c>
      <c r="F83" s="9">
        <f t="shared" si="1"/>
        <v>1369</v>
      </c>
      <c r="H83" s="10">
        <v>103.85</v>
      </c>
      <c r="I83" s="10">
        <v>86.82</v>
      </c>
      <c r="J83" s="10">
        <v>86.66</v>
      </c>
      <c r="K83" s="10">
        <v>90.78</v>
      </c>
      <c r="M83" s="10">
        <v>126.17128</v>
      </c>
      <c r="N83" s="10">
        <v>90.689149999999998</v>
      </c>
      <c r="O83" s="10">
        <v>101.59708000000001</v>
      </c>
      <c r="Q83" s="21">
        <v>1109.97</v>
      </c>
      <c r="R83" s="21">
        <v>1068.08</v>
      </c>
      <c r="S83" s="21">
        <v>1080.96</v>
      </c>
    </row>
    <row r="84" spans="1:19" x14ac:dyDescent="0.2">
      <c r="A84" s="9" t="s">
        <v>168</v>
      </c>
      <c r="B84" s="9" t="s">
        <v>169</v>
      </c>
      <c r="C84" s="9">
        <v>28</v>
      </c>
      <c r="D84" s="9">
        <v>0</v>
      </c>
      <c r="E84" s="9">
        <v>104</v>
      </c>
      <c r="F84" s="9">
        <f t="shared" si="1"/>
        <v>132</v>
      </c>
      <c r="H84" s="10">
        <v>165.33</v>
      </c>
      <c r="I84" s="10">
        <v>0</v>
      </c>
      <c r="J84" s="10">
        <v>172.31</v>
      </c>
      <c r="K84" s="10">
        <v>170.83</v>
      </c>
      <c r="M84" s="10">
        <v>215.096</v>
      </c>
      <c r="N84" s="10">
        <v>217.97474</v>
      </c>
      <c r="O84" s="10">
        <v>217.35292999999999</v>
      </c>
      <c r="Q84" s="21">
        <v>1452.9</v>
      </c>
      <c r="R84" s="21">
        <v>1399.04</v>
      </c>
      <c r="S84" s="21">
        <v>1410.67</v>
      </c>
    </row>
    <row r="85" spans="1:19" x14ac:dyDescent="0.2">
      <c r="A85" s="9" t="s">
        <v>170</v>
      </c>
      <c r="B85" s="9" t="s">
        <v>171</v>
      </c>
      <c r="C85" s="9">
        <v>3</v>
      </c>
      <c r="D85" s="9">
        <v>0</v>
      </c>
      <c r="E85" s="9">
        <v>51</v>
      </c>
      <c r="F85" s="9">
        <f t="shared" si="1"/>
        <v>54</v>
      </c>
      <c r="H85" s="10">
        <v>95.33</v>
      </c>
      <c r="I85" s="10">
        <v>0</v>
      </c>
      <c r="J85" s="10">
        <v>163.29</v>
      </c>
      <c r="K85" s="10">
        <v>159.37</v>
      </c>
      <c r="M85" s="10">
        <v>159.85732999999999</v>
      </c>
      <c r="N85" s="10">
        <v>225.40621999999999</v>
      </c>
      <c r="O85" s="10">
        <v>221.62455</v>
      </c>
      <c r="Q85" s="21">
        <v>1764.77</v>
      </c>
      <c r="R85" s="21">
        <v>1564.43</v>
      </c>
      <c r="S85" s="21">
        <v>1575.99</v>
      </c>
    </row>
    <row r="86" spans="1:19" x14ac:dyDescent="0.2">
      <c r="A86" s="9" t="s">
        <v>172</v>
      </c>
      <c r="B86" s="9" t="s">
        <v>173</v>
      </c>
      <c r="C86" s="9">
        <v>8</v>
      </c>
      <c r="D86" s="9">
        <v>0</v>
      </c>
      <c r="E86" s="9">
        <v>96</v>
      </c>
      <c r="F86" s="9">
        <f t="shared" si="1"/>
        <v>104</v>
      </c>
      <c r="H86" s="10">
        <v>167.57</v>
      </c>
      <c r="I86" s="10">
        <v>0</v>
      </c>
      <c r="J86" s="10">
        <v>130.77000000000001</v>
      </c>
      <c r="K86" s="10">
        <v>133.43</v>
      </c>
      <c r="M86" s="10">
        <v>270.78570999999999</v>
      </c>
      <c r="N86" s="10">
        <v>191.94447</v>
      </c>
      <c r="O86" s="10">
        <v>197.63404</v>
      </c>
      <c r="Q86" s="21">
        <v>1557.55</v>
      </c>
      <c r="R86" s="21">
        <v>1708.86</v>
      </c>
      <c r="S86" s="21">
        <v>1697.94</v>
      </c>
    </row>
    <row r="87" spans="1:19" x14ac:dyDescent="0.2">
      <c r="A87" s="9" t="s">
        <v>174</v>
      </c>
      <c r="B87" s="9" t="s">
        <v>175</v>
      </c>
      <c r="C87" s="9">
        <v>24</v>
      </c>
      <c r="D87" s="9">
        <v>0</v>
      </c>
      <c r="E87" s="9">
        <v>558</v>
      </c>
      <c r="F87" s="9">
        <f t="shared" si="1"/>
        <v>582</v>
      </c>
      <c r="H87" s="10">
        <v>130.09</v>
      </c>
      <c r="I87" s="10">
        <v>0</v>
      </c>
      <c r="J87" s="10">
        <v>79.900000000000006</v>
      </c>
      <c r="K87" s="10">
        <v>82</v>
      </c>
      <c r="M87" s="10">
        <v>170.22273999999999</v>
      </c>
      <c r="N87" s="10">
        <v>136.17947000000001</v>
      </c>
      <c r="O87" s="10">
        <v>137.61150000000001</v>
      </c>
      <c r="Q87" s="21">
        <v>1409.61</v>
      </c>
      <c r="R87" s="21">
        <v>1763.01</v>
      </c>
      <c r="S87" s="21">
        <v>1748.14</v>
      </c>
    </row>
    <row r="88" spans="1:19" x14ac:dyDescent="0.2">
      <c r="A88" s="9" t="s">
        <v>176</v>
      </c>
      <c r="B88" s="9" t="s">
        <v>177</v>
      </c>
      <c r="C88" s="9">
        <v>10</v>
      </c>
      <c r="D88" s="9">
        <v>0</v>
      </c>
      <c r="E88" s="9">
        <v>93</v>
      </c>
      <c r="F88" s="9">
        <f t="shared" si="1"/>
        <v>103</v>
      </c>
      <c r="H88" s="10">
        <v>172.67</v>
      </c>
      <c r="I88" s="10">
        <v>0</v>
      </c>
      <c r="J88" s="10">
        <v>115.42</v>
      </c>
      <c r="K88" s="10">
        <v>121.7</v>
      </c>
      <c r="M88" s="10">
        <v>150.35132999999999</v>
      </c>
      <c r="N88" s="10">
        <v>112.30692999999999</v>
      </c>
      <c r="O88" s="10">
        <v>116.48253</v>
      </c>
      <c r="Q88" s="21">
        <v>969.11</v>
      </c>
      <c r="R88" s="21">
        <v>1115.69</v>
      </c>
      <c r="S88" s="21">
        <v>1099.5999999999999</v>
      </c>
    </row>
    <row r="89" spans="1:19" x14ac:dyDescent="0.2">
      <c r="A89" s="9" t="s">
        <v>178</v>
      </c>
      <c r="B89" s="9" t="s">
        <v>179</v>
      </c>
      <c r="C89" s="9">
        <v>27</v>
      </c>
      <c r="D89" s="9">
        <v>0</v>
      </c>
      <c r="E89" s="9">
        <v>171</v>
      </c>
      <c r="F89" s="9">
        <f t="shared" si="1"/>
        <v>198</v>
      </c>
      <c r="H89" s="10">
        <v>85.42</v>
      </c>
      <c r="I89" s="10">
        <v>0</v>
      </c>
      <c r="J89" s="10">
        <v>87.41</v>
      </c>
      <c r="K89" s="10">
        <v>87.12</v>
      </c>
      <c r="M89" s="10">
        <v>144.84042000000002</v>
      </c>
      <c r="N89" s="10">
        <v>131.55569</v>
      </c>
      <c r="O89" s="10">
        <v>133.50711999999999</v>
      </c>
      <c r="Q89" s="21">
        <v>1771.7</v>
      </c>
      <c r="R89" s="21">
        <v>1618.88</v>
      </c>
      <c r="S89" s="21">
        <v>1641.33</v>
      </c>
    </row>
    <row r="90" spans="1:19" x14ac:dyDescent="0.2">
      <c r="A90" s="9" t="s">
        <v>180</v>
      </c>
      <c r="B90" s="9" t="s">
        <v>181</v>
      </c>
      <c r="C90" s="9">
        <v>7</v>
      </c>
      <c r="D90" s="9">
        <v>0</v>
      </c>
      <c r="E90" s="9">
        <v>196</v>
      </c>
      <c r="F90" s="9">
        <f t="shared" si="1"/>
        <v>203</v>
      </c>
      <c r="H90" s="10">
        <v>106</v>
      </c>
      <c r="I90" s="10">
        <v>0</v>
      </c>
      <c r="J90" s="10">
        <v>103.48</v>
      </c>
      <c r="K90" s="10">
        <v>103.55</v>
      </c>
      <c r="M90" s="10">
        <v>107.44544999999999</v>
      </c>
      <c r="N90" s="10">
        <v>81.998550000000009</v>
      </c>
      <c r="O90" s="10">
        <v>82.734009999999998</v>
      </c>
      <c r="Q90" s="21">
        <v>1002.12</v>
      </c>
      <c r="R90" s="21">
        <v>841.5</v>
      </c>
      <c r="S90" s="21">
        <v>846.14</v>
      </c>
    </row>
    <row r="91" spans="1:19" x14ac:dyDescent="0.2">
      <c r="A91" s="9" t="s">
        <v>182</v>
      </c>
      <c r="B91" s="9" t="s">
        <v>183</v>
      </c>
      <c r="C91" s="9">
        <v>285</v>
      </c>
      <c r="D91" s="9">
        <v>17</v>
      </c>
      <c r="E91" s="9">
        <v>702</v>
      </c>
      <c r="F91" s="9">
        <f t="shared" si="1"/>
        <v>1004</v>
      </c>
      <c r="H91" s="10">
        <v>80.099999999999994</v>
      </c>
      <c r="I91" s="10">
        <v>85.19</v>
      </c>
      <c r="J91" s="10">
        <v>85.7</v>
      </c>
      <c r="K91" s="10">
        <v>84.09</v>
      </c>
      <c r="M91" s="10">
        <v>72.355829999999997</v>
      </c>
      <c r="N91" s="10">
        <v>98.003460000000004</v>
      </c>
      <c r="O91" s="10">
        <v>90.453389999999999</v>
      </c>
      <c r="Q91" s="21">
        <v>908.72</v>
      </c>
      <c r="R91" s="21">
        <v>1105.31</v>
      </c>
      <c r="S91" s="21">
        <v>1047.44</v>
      </c>
    </row>
    <row r="92" spans="1:19" x14ac:dyDescent="0.2">
      <c r="A92" s="9" t="s">
        <v>184</v>
      </c>
      <c r="B92" s="9" t="s">
        <v>185</v>
      </c>
      <c r="C92" s="9">
        <v>6</v>
      </c>
      <c r="D92" s="9">
        <v>0</v>
      </c>
      <c r="E92" s="9">
        <v>238</v>
      </c>
      <c r="F92" s="9">
        <f t="shared" si="1"/>
        <v>244</v>
      </c>
      <c r="H92" s="10">
        <v>107.17</v>
      </c>
      <c r="I92" s="10">
        <v>0</v>
      </c>
      <c r="J92" s="10">
        <v>88.11</v>
      </c>
      <c r="K92" s="10">
        <v>88.63</v>
      </c>
      <c r="M92" s="10">
        <v>171.33332999999999</v>
      </c>
      <c r="N92" s="10">
        <v>138.51567</v>
      </c>
      <c r="O92" s="10">
        <v>139.41891000000001</v>
      </c>
      <c r="Q92" s="21">
        <v>1623.76</v>
      </c>
      <c r="R92" s="21">
        <v>1594.98</v>
      </c>
      <c r="S92" s="21">
        <v>1595.77</v>
      </c>
    </row>
    <row r="93" spans="1:19" x14ac:dyDescent="0.2">
      <c r="A93" s="9" t="s">
        <v>186</v>
      </c>
      <c r="B93" s="9" t="s">
        <v>187</v>
      </c>
      <c r="C93" s="9">
        <v>136</v>
      </c>
      <c r="D93" s="9">
        <v>0</v>
      </c>
      <c r="E93" s="9">
        <v>188</v>
      </c>
      <c r="F93" s="9">
        <f t="shared" si="1"/>
        <v>324</v>
      </c>
      <c r="H93" s="10">
        <v>83.74</v>
      </c>
      <c r="I93" s="10">
        <v>0</v>
      </c>
      <c r="J93" s="10">
        <v>105.59</v>
      </c>
      <c r="K93" s="10">
        <v>96.39</v>
      </c>
      <c r="M93" s="10">
        <v>283.06991999999997</v>
      </c>
      <c r="N93" s="10">
        <v>289.44928000000004</v>
      </c>
      <c r="O93" s="10">
        <v>286.75577000000004</v>
      </c>
      <c r="Q93" s="21">
        <v>3602.11</v>
      </c>
      <c r="R93" s="21">
        <v>2971.43</v>
      </c>
      <c r="S93" s="21">
        <v>3237.72</v>
      </c>
    </row>
    <row r="94" spans="1:19" x14ac:dyDescent="0.2">
      <c r="A94" s="9" t="s">
        <v>188</v>
      </c>
      <c r="B94" s="9" t="s">
        <v>189</v>
      </c>
      <c r="C94" s="9">
        <v>11</v>
      </c>
      <c r="D94" s="9">
        <v>0</v>
      </c>
      <c r="E94" s="9">
        <v>78</v>
      </c>
      <c r="F94" s="9">
        <f t="shared" si="1"/>
        <v>89</v>
      </c>
      <c r="H94" s="10">
        <v>113.63</v>
      </c>
      <c r="I94" s="10">
        <v>0</v>
      </c>
      <c r="J94" s="10">
        <v>120.99</v>
      </c>
      <c r="K94" s="10">
        <v>120.26</v>
      </c>
      <c r="M94" s="10">
        <v>176.875</v>
      </c>
      <c r="N94" s="10">
        <v>160.77029999999999</v>
      </c>
      <c r="O94" s="10">
        <v>162.36089000000001</v>
      </c>
      <c r="Q94" s="21">
        <v>1583.24</v>
      </c>
      <c r="R94" s="21">
        <v>1485.01</v>
      </c>
      <c r="S94" s="21">
        <v>1494.71</v>
      </c>
    </row>
    <row r="95" spans="1:19" x14ac:dyDescent="0.2">
      <c r="A95" s="9" t="s">
        <v>190</v>
      </c>
      <c r="B95" s="9" t="s">
        <v>191</v>
      </c>
      <c r="C95" s="9">
        <v>0</v>
      </c>
      <c r="D95" s="9">
        <v>0</v>
      </c>
      <c r="E95" s="9">
        <v>73</v>
      </c>
      <c r="F95" s="9">
        <f t="shared" si="1"/>
        <v>73</v>
      </c>
      <c r="H95" s="10">
        <v>0</v>
      </c>
      <c r="I95" s="10">
        <v>0</v>
      </c>
      <c r="J95" s="10">
        <v>207.85</v>
      </c>
      <c r="K95" s="10">
        <v>207.85</v>
      </c>
      <c r="M95" s="10">
        <v>0</v>
      </c>
      <c r="N95" s="10">
        <v>456.68965000000003</v>
      </c>
      <c r="O95" s="10">
        <v>456.68965000000003</v>
      </c>
      <c r="Q95" s="21">
        <v>0</v>
      </c>
      <c r="R95" s="21">
        <v>2539.2199999999998</v>
      </c>
      <c r="S95" s="21">
        <v>2539.2199999999998</v>
      </c>
    </row>
    <row r="96" spans="1:19" x14ac:dyDescent="0.2">
      <c r="A96" s="9" t="s">
        <v>192</v>
      </c>
      <c r="B96" s="9" t="s">
        <v>193</v>
      </c>
      <c r="C96" s="9">
        <v>257</v>
      </c>
      <c r="D96" s="9">
        <v>0</v>
      </c>
      <c r="E96" s="9">
        <v>1158</v>
      </c>
      <c r="F96" s="9">
        <f t="shared" si="1"/>
        <v>1415</v>
      </c>
      <c r="H96" s="10">
        <v>87.72</v>
      </c>
      <c r="I96" s="10">
        <v>0</v>
      </c>
      <c r="J96" s="10">
        <v>85.57</v>
      </c>
      <c r="K96" s="10">
        <v>85.85</v>
      </c>
      <c r="M96" s="10">
        <v>173.92448999999999</v>
      </c>
      <c r="N96" s="10">
        <v>174.30364</v>
      </c>
      <c r="O96" s="10">
        <v>174.25492000000003</v>
      </c>
      <c r="Q96" s="21">
        <v>2128.5700000000002</v>
      </c>
      <c r="R96" s="21">
        <v>2135.7199999999998</v>
      </c>
      <c r="S96" s="21">
        <v>2134.8000000000002</v>
      </c>
    </row>
    <row r="97" spans="1:19" x14ac:dyDescent="0.2">
      <c r="A97" s="9" t="s">
        <v>194</v>
      </c>
      <c r="B97" s="9" t="s">
        <v>195</v>
      </c>
      <c r="C97" s="9">
        <v>20</v>
      </c>
      <c r="D97" s="9">
        <v>0</v>
      </c>
      <c r="E97" s="9">
        <v>41</v>
      </c>
      <c r="F97" s="9">
        <f t="shared" si="1"/>
        <v>61</v>
      </c>
      <c r="H97" s="10">
        <v>155.30000000000001</v>
      </c>
      <c r="I97" s="10">
        <v>0</v>
      </c>
      <c r="J97" s="10">
        <v>117.24</v>
      </c>
      <c r="K97" s="10">
        <v>130.36000000000001</v>
      </c>
      <c r="M97" s="10">
        <v>126.75</v>
      </c>
      <c r="N97" s="10">
        <v>148.24798000000001</v>
      </c>
      <c r="O97" s="10">
        <v>140.83488</v>
      </c>
      <c r="Q97" s="21">
        <v>962.3</v>
      </c>
      <c r="R97" s="21">
        <v>1595.83</v>
      </c>
      <c r="S97" s="21">
        <v>1377.37</v>
      </c>
    </row>
    <row r="98" spans="1:19" x14ac:dyDescent="0.2">
      <c r="A98" s="9" t="s">
        <v>196</v>
      </c>
      <c r="B98" s="9" t="s">
        <v>197</v>
      </c>
      <c r="C98" s="9">
        <v>89</v>
      </c>
      <c r="D98" s="9">
        <v>0</v>
      </c>
      <c r="E98" s="9">
        <v>173</v>
      </c>
      <c r="F98" s="9">
        <f t="shared" si="1"/>
        <v>262</v>
      </c>
      <c r="H98" s="10">
        <v>100.54</v>
      </c>
      <c r="I98" s="10">
        <v>0</v>
      </c>
      <c r="J98" s="10">
        <v>90.57</v>
      </c>
      <c r="K98" s="10">
        <v>93.96</v>
      </c>
      <c r="M98" s="10">
        <v>227.76911999999999</v>
      </c>
      <c r="N98" s="10">
        <v>234.74748000000002</v>
      </c>
      <c r="O98" s="10">
        <v>232.30357999999998</v>
      </c>
      <c r="Q98" s="21">
        <v>2406.88</v>
      </c>
      <c r="R98" s="21">
        <v>2635.3</v>
      </c>
      <c r="S98" s="21">
        <v>2555.3000000000002</v>
      </c>
    </row>
    <row r="99" spans="1:19" x14ac:dyDescent="0.2">
      <c r="A99" s="9" t="s">
        <v>198</v>
      </c>
      <c r="B99" s="9" t="s">
        <v>199</v>
      </c>
      <c r="C99" s="9">
        <v>11</v>
      </c>
      <c r="D99" s="9">
        <v>0</v>
      </c>
      <c r="E99" s="9">
        <v>158</v>
      </c>
      <c r="F99" s="9">
        <f t="shared" si="1"/>
        <v>169</v>
      </c>
      <c r="H99" s="10">
        <v>93</v>
      </c>
      <c r="I99" s="10">
        <v>0</v>
      </c>
      <c r="J99" s="10">
        <v>92.27</v>
      </c>
      <c r="K99" s="10">
        <v>92.3</v>
      </c>
      <c r="M99" s="10">
        <v>41.4</v>
      </c>
      <c r="N99" s="10">
        <v>71.630030000000005</v>
      </c>
      <c r="O99" s="10">
        <v>70.118529999999993</v>
      </c>
      <c r="Q99" s="21">
        <v>443.37</v>
      </c>
      <c r="R99" s="21">
        <v>796.3</v>
      </c>
      <c r="S99" s="21">
        <v>778.65</v>
      </c>
    </row>
    <row r="100" spans="1:19" x14ac:dyDescent="0.2">
      <c r="A100" s="9" t="s">
        <v>200</v>
      </c>
      <c r="B100" s="9" t="s">
        <v>201</v>
      </c>
      <c r="C100" s="9">
        <v>52</v>
      </c>
      <c r="D100" s="9">
        <v>10</v>
      </c>
      <c r="E100" s="9">
        <v>359</v>
      </c>
      <c r="F100" s="9">
        <f t="shared" si="1"/>
        <v>421</v>
      </c>
      <c r="H100" s="10">
        <v>85.91</v>
      </c>
      <c r="I100" s="10">
        <v>82</v>
      </c>
      <c r="J100" s="10">
        <v>87.73</v>
      </c>
      <c r="K100" s="10">
        <v>87.37</v>
      </c>
      <c r="M100" s="10">
        <v>134.88479000000001</v>
      </c>
      <c r="N100" s="10">
        <v>148.21231</v>
      </c>
      <c r="O100" s="10">
        <v>146.29007000000001</v>
      </c>
      <c r="Q100" s="21">
        <v>1672.2</v>
      </c>
      <c r="R100" s="21">
        <v>1872.53</v>
      </c>
      <c r="S100" s="21">
        <v>1843.64</v>
      </c>
    </row>
    <row r="101" spans="1:19" x14ac:dyDescent="0.2">
      <c r="A101" s="9" t="s">
        <v>202</v>
      </c>
      <c r="B101" s="9" t="s">
        <v>203</v>
      </c>
      <c r="C101" s="9">
        <v>7</v>
      </c>
      <c r="D101" s="9">
        <v>1</v>
      </c>
      <c r="E101" s="9">
        <v>57</v>
      </c>
      <c r="F101" s="9">
        <f t="shared" si="1"/>
        <v>65</v>
      </c>
      <c r="H101" s="10">
        <v>246.14</v>
      </c>
      <c r="I101" s="10">
        <v>0</v>
      </c>
      <c r="J101" s="10">
        <v>108.5</v>
      </c>
      <c r="K101" s="10">
        <v>132</v>
      </c>
      <c r="M101" s="10">
        <v>270.5</v>
      </c>
      <c r="N101" s="10">
        <v>99.070610000000002</v>
      </c>
      <c r="O101" s="10">
        <v>134.36490000000001</v>
      </c>
      <c r="Q101" s="21">
        <v>1101.49</v>
      </c>
      <c r="R101" s="21">
        <v>954.35</v>
      </c>
      <c r="S101" s="21">
        <v>984.64</v>
      </c>
    </row>
    <row r="102" spans="1:19" x14ac:dyDescent="0.2">
      <c r="A102" s="9" t="s">
        <v>204</v>
      </c>
      <c r="B102" s="9" t="s">
        <v>205</v>
      </c>
      <c r="C102" s="9">
        <v>74</v>
      </c>
      <c r="D102" s="9">
        <v>3</v>
      </c>
      <c r="E102" s="9">
        <v>277</v>
      </c>
      <c r="F102" s="9">
        <f t="shared" si="1"/>
        <v>354</v>
      </c>
      <c r="H102" s="10">
        <v>97.87</v>
      </c>
      <c r="I102" s="10">
        <v>76.67</v>
      </c>
      <c r="J102" s="10">
        <v>78.92</v>
      </c>
      <c r="K102" s="10">
        <v>82.85</v>
      </c>
      <c r="M102" s="10">
        <v>183.48544000000001</v>
      </c>
      <c r="N102" s="10">
        <v>146.06268</v>
      </c>
      <c r="O102" s="10">
        <v>154.36420999999999</v>
      </c>
      <c r="Q102" s="21">
        <v>2012.61</v>
      </c>
      <c r="R102" s="21">
        <v>1825.64</v>
      </c>
      <c r="S102" s="21">
        <v>1867.12</v>
      </c>
    </row>
    <row r="103" spans="1:19" x14ac:dyDescent="0.2">
      <c r="A103" s="9" t="s">
        <v>206</v>
      </c>
      <c r="B103" s="9" t="s">
        <v>207</v>
      </c>
      <c r="C103" s="9">
        <v>6</v>
      </c>
      <c r="D103" s="9">
        <v>1</v>
      </c>
      <c r="E103" s="9">
        <v>70</v>
      </c>
      <c r="F103" s="9">
        <f t="shared" si="1"/>
        <v>77</v>
      </c>
      <c r="H103" s="10">
        <v>167.17</v>
      </c>
      <c r="I103" s="10">
        <v>90</v>
      </c>
      <c r="J103" s="10">
        <v>96.86</v>
      </c>
      <c r="K103" s="10">
        <v>102.62</v>
      </c>
      <c r="M103" s="10">
        <v>383.16699999999997</v>
      </c>
      <c r="N103" s="10">
        <v>290.85388</v>
      </c>
      <c r="O103" s="10">
        <v>298.76643000000001</v>
      </c>
      <c r="Q103" s="21">
        <v>2174.59</v>
      </c>
      <c r="R103" s="21">
        <v>3038.67</v>
      </c>
      <c r="S103" s="21">
        <v>2964.61</v>
      </c>
    </row>
    <row r="104" spans="1:19" x14ac:dyDescent="0.2">
      <c r="A104" s="9" t="s">
        <v>208</v>
      </c>
      <c r="B104" s="9" t="s">
        <v>209</v>
      </c>
      <c r="C104" s="9">
        <v>12</v>
      </c>
      <c r="D104" s="9">
        <v>0</v>
      </c>
      <c r="E104" s="9">
        <v>43</v>
      </c>
      <c r="F104" s="9">
        <f t="shared" si="1"/>
        <v>55</v>
      </c>
      <c r="H104" s="10">
        <v>87.45</v>
      </c>
      <c r="I104" s="10">
        <v>0</v>
      </c>
      <c r="J104" s="10">
        <v>102.51</v>
      </c>
      <c r="K104" s="10">
        <v>98.91</v>
      </c>
      <c r="M104" s="10">
        <v>147.11818</v>
      </c>
      <c r="N104" s="10">
        <v>176.97815</v>
      </c>
      <c r="O104" s="10">
        <v>169.67904999999999</v>
      </c>
      <c r="Q104" s="21">
        <v>1740.45</v>
      </c>
      <c r="R104" s="21">
        <v>1805.97</v>
      </c>
      <c r="S104" s="21">
        <v>1789.95</v>
      </c>
    </row>
    <row r="105" spans="1:19" x14ac:dyDescent="0.2">
      <c r="A105" s="9" t="s">
        <v>210</v>
      </c>
      <c r="B105" s="9" t="s">
        <v>211</v>
      </c>
      <c r="C105" s="9">
        <v>15</v>
      </c>
      <c r="D105" s="9">
        <v>1</v>
      </c>
      <c r="E105" s="9">
        <v>126</v>
      </c>
      <c r="F105" s="9">
        <f t="shared" si="1"/>
        <v>142</v>
      </c>
      <c r="H105" s="10">
        <v>94.9</v>
      </c>
      <c r="I105" s="10">
        <v>45</v>
      </c>
      <c r="J105" s="10">
        <v>81.599999999999994</v>
      </c>
      <c r="K105" s="10">
        <v>82.5</v>
      </c>
      <c r="M105" s="10">
        <v>139.22221999999999</v>
      </c>
      <c r="N105" s="10">
        <v>150.79763</v>
      </c>
      <c r="O105" s="10">
        <v>149.72361999999998</v>
      </c>
      <c r="Q105" s="21">
        <v>1483.39</v>
      </c>
      <c r="R105" s="21">
        <v>1802.42</v>
      </c>
      <c r="S105" s="21">
        <v>1772.82</v>
      </c>
    </row>
    <row r="106" spans="1:19" x14ac:dyDescent="0.2">
      <c r="A106" s="9" t="s">
        <v>212</v>
      </c>
      <c r="B106" s="9" t="s">
        <v>213</v>
      </c>
      <c r="C106" s="9">
        <v>2</v>
      </c>
      <c r="D106" s="9">
        <v>0</v>
      </c>
      <c r="E106" s="9">
        <v>447</v>
      </c>
      <c r="F106" s="9">
        <f t="shared" si="1"/>
        <v>449</v>
      </c>
      <c r="H106" s="10">
        <v>54</v>
      </c>
      <c r="I106" s="10">
        <v>0</v>
      </c>
      <c r="J106" s="10">
        <v>97.78</v>
      </c>
      <c r="K106" s="10">
        <v>97.57</v>
      </c>
      <c r="M106" s="10">
        <v>0</v>
      </c>
      <c r="N106" s="10">
        <v>141.26455999999999</v>
      </c>
      <c r="O106" s="10">
        <v>141.90442999999999</v>
      </c>
      <c r="Q106" s="21">
        <v>0</v>
      </c>
      <c r="R106" s="21">
        <v>1587.2</v>
      </c>
      <c r="S106" s="21">
        <v>1603.97</v>
      </c>
    </row>
    <row r="107" spans="1:19" x14ac:dyDescent="0.2">
      <c r="A107" s="9" t="s">
        <v>214</v>
      </c>
      <c r="B107" s="9" t="s">
        <v>215</v>
      </c>
      <c r="C107" s="9">
        <v>6</v>
      </c>
      <c r="D107" s="9">
        <v>0</v>
      </c>
      <c r="E107" s="9">
        <v>43</v>
      </c>
      <c r="F107" s="9">
        <f t="shared" si="1"/>
        <v>49</v>
      </c>
      <c r="H107" s="10">
        <v>207</v>
      </c>
      <c r="I107" s="10">
        <v>0</v>
      </c>
      <c r="J107" s="10">
        <v>115.83</v>
      </c>
      <c r="K107" s="10">
        <v>134.06</v>
      </c>
      <c r="M107" s="10">
        <v>86.676990000000004</v>
      </c>
      <c r="N107" s="10">
        <v>61.451160000000002</v>
      </c>
      <c r="O107" s="10">
        <v>66.49633</v>
      </c>
      <c r="Q107" s="21">
        <v>635.76</v>
      </c>
      <c r="R107" s="21">
        <v>609.01</v>
      </c>
      <c r="S107" s="21">
        <v>614.36</v>
      </c>
    </row>
    <row r="108" spans="1:19" x14ac:dyDescent="0.2">
      <c r="A108" s="9" t="s">
        <v>216</v>
      </c>
      <c r="B108" s="9" t="s">
        <v>217</v>
      </c>
      <c r="C108" s="9">
        <v>15</v>
      </c>
      <c r="D108" s="9">
        <v>0</v>
      </c>
      <c r="E108" s="9">
        <v>23</v>
      </c>
      <c r="F108" s="9">
        <f t="shared" si="1"/>
        <v>38</v>
      </c>
      <c r="H108" s="10">
        <v>119.14</v>
      </c>
      <c r="I108" s="10">
        <v>0</v>
      </c>
      <c r="J108" s="10">
        <v>120.05</v>
      </c>
      <c r="K108" s="10">
        <v>119.7</v>
      </c>
      <c r="M108" s="10">
        <v>136.96429000000001</v>
      </c>
      <c r="N108" s="10">
        <v>170.13754999999998</v>
      </c>
      <c r="O108" s="10">
        <v>157.23684</v>
      </c>
      <c r="Q108" s="21">
        <v>1122.6300000000001</v>
      </c>
      <c r="R108" s="21">
        <v>1478.08</v>
      </c>
      <c r="S108" s="21">
        <v>1339.85</v>
      </c>
    </row>
    <row r="109" spans="1:19" x14ac:dyDescent="0.2">
      <c r="A109" s="9" t="s">
        <v>218</v>
      </c>
      <c r="B109" s="9" t="s">
        <v>219</v>
      </c>
      <c r="C109" s="9">
        <v>9</v>
      </c>
      <c r="D109" s="9">
        <v>0</v>
      </c>
      <c r="E109" s="9">
        <v>26</v>
      </c>
      <c r="F109" s="9">
        <f t="shared" si="1"/>
        <v>35</v>
      </c>
      <c r="H109" s="10">
        <v>92.88</v>
      </c>
      <c r="I109" s="10">
        <v>0</v>
      </c>
      <c r="J109" s="10">
        <v>97.38</v>
      </c>
      <c r="K109" s="10">
        <v>96.25</v>
      </c>
      <c r="M109" s="10">
        <v>79.349999999999994</v>
      </c>
      <c r="N109" s="10">
        <v>83.532920000000004</v>
      </c>
      <c r="O109" s="10">
        <v>82.487189999999998</v>
      </c>
      <c r="Q109" s="21">
        <v>845.62</v>
      </c>
      <c r="R109" s="21">
        <v>864.52</v>
      </c>
      <c r="S109" s="21">
        <v>859.79</v>
      </c>
    </row>
    <row r="110" spans="1:19" x14ac:dyDescent="0.2">
      <c r="A110" s="9" t="s">
        <v>220</v>
      </c>
      <c r="B110" s="9" t="s">
        <v>221</v>
      </c>
      <c r="C110" s="9">
        <v>0</v>
      </c>
      <c r="D110" s="9">
        <v>0</v>
      </c>
      <c r="E110" s="9">
        <v>269</v>
      </c>
      <c r="F110" s="9">
        <f t="shared" si="1"/>
        <v>269</v>
      </c>
      <c r="H110" s="10">
        <v>0</v>
      </c>
      <c r="I110" s="10">
        <v>0</v>
      </c>
      <c r="J110" s="10">
        <v>93.1</v>
      </c>
      <c r="K110" s="10">
        <v>93.1</v>
      </c>
      <c r="M110" s="10">
        <v>0</v>
      </c>
      <c r="N110" s="10">
        <v>146.38907999999998</v>
      </c>
      <c r="O110" s="10">
        <v>146.38907999999998</v>
      </c>
      <c r="Q110" s="21">
        <v>0</v>
      </c>
      <c r="R110" s="21">
        <v>1666.55</v>
      </c>
      <c r="S110" s="21">
        <v>1666.55</v>
      </c>
    </row>
    <row r="111" spans="1:19" x14ac:dyDescent="0.2">
      <c r="A111" s="9" t="s">
        <v>222</v>
      </c>
      <c r="B111" s="9" t="s">
        <v>223</v>
      </c>
      <c r="C111" s="9">
        <v>72</v>
      </c>
      <c r="D111" s="9">
        <v>13</v>
      </c>
      <c r="E111" s="9">
        <v>198</v>
      </c>
      <c r="F111" s="9">
        <f t="shared" si="1"/>
        <v>283</v>
      </c>
      <c r="H111" s="10">
        <v>109.15</v>
      </c>
      <c r="I111" s="10">
        <v>87.5</v>
      </c>
      <c r="J111" s="10">
        <v>94.06</v>
      </c>
      <c r="K111" s="10">
        <v>97.5</v>
      </c>
      <c r="M111" s="10">
        <v>137.94219000000001</v>
      </c>
      <c r="N111" s="10">
        <v>115.32769999999999</v>
      </c>
      <c r="O111" s="10">
        <v>121.9909</v>
      </c>
      <c r="Q111" s="21">
        <v>1384.35</v>
      </c>
      <c r="R111" s="21">
        <v>1302.8399999999999</v>
      </c>
      <c r="S111" s="21">
        <v>1326.86</v>
      </c>
    </row>
    <row r="112" spans="1:19" x14ac:dyDescent="0.2">
      <c r="A112" s="9" t="s">
        <v>224</v>
      </c>
      <c r="B112" s="9" t="s">
        <v>225</v>
      </c>
      <c r="C112" s="9">
        <v>17</v>
      </c>
      <c r="D112" s="9">
        <v>0</v>
      </c>
      <c r="E112" s="9">
        <v>76</v>
      </c>
      <c r="F112" s="9">
        <f t="shared" si="1"/>
        <v>93</v>
      </c>
      <c r="H112" s="10">
        <v>83.57</v>
      </c>
      <c r="I112" s="10">
        <v>0</v>
      </c>
      <c r="J112" s="10">
        <v>112.38</v>
      </c>
      <c r="K112" s="10">
        <v>107.52</v>
      </c>
      <c r="M112" s="10">
        <v>103.08429</v>
      </c>
      <c r="N112" s="10">
        <v>142.03558999999998</v>
      </c>
      <c r="O112" s="10">
        <v>135.30327</v>
      </c>
      <c r="Q112" s="21">
        <v>1408.13</v>
      </c>
      <c r="R112" s="21">
        <v>1402.97</v>
      </c>
      <c r="S112" s="21">
        <v>1403.86</v>
      </c>
    </row>
    <row r="113" spans="1:19" x14ac:dyDescent="0.2">
      <c r="A113" s="9" t="s">
        <v>226</v>
      </c>
      <c r="B113" s="9" t="s">
        <v>227</v>
      </c>
      <c r="C113" s="9">
        <v>53</v>
      </c>
      <c r="D113" s="9">
        <v>0</v>
      </c>
      <c r="E113" s="9">
        <v>332</v>
      </c>
      <c r="F113" s="9">
        <f t="shared" si="1"/>
        <v>385</v>
      </c>
      <c r="H113" s="10">
        <v>107.32</v>
      </c>
      <c r="I113" s="10">
        <v>0</v>
      </c>
      <c r="J113" s="10">
        <v>97.69</v>
      </c>
      <c r="K113" s="10">
        <v>99.1</v>
      </c>
      <c r="M113" s="10">
        <v>339.20375000000001</v>
      </c>
      <c r="N113" s="10">
        <v>205.65436</v>
      </c>
      <c r="O113" s="10">
        <v>225.64678000000001</v>
      </c>
      <c r="Q113" s="21">
        <v>3142.26</v>
      </c>
      <c r="R113" s="21">
        <v>2104.83</v>
      </c>
      <c r="S113" s="21">
        <v>2260.13</v>
      </c>
    </row>
    <row r="114" spans="1:19" x14ac:dyDescent="0.2">
      <c r="A114" s="9" t="s">
        <v>228</v>
      </c>
      <c r="B114" s="9" t="s">
        <v>229</v>
      </c>
      <c r="C114" s="9">
        <v>153</v>
      </c>
      <c r="D114" s="9">
        <v>1</v>
      </c>
      <c r="E114" s="9">
        <v>217</v>
      </c>
      <c r="F114" s="9">
        <f t="shared" si="1"/>
        <v>371</v>
      </c>
      <c r="H114" s="10">
        <v>85.4</v>
      </c>
      <c r="I114" s="10">
        <v>79</v>
      </c>
      <c r="J114" s="10">
        <v>79.94</v>
      </c>
      <c r="K114" s="10">
        <v>82.19</v>
      </c>
      <c r="M114" s="10">
        <v>210.93664999999999</v>
      </c>
      <c r="N114" s="10">
        <v>146.1825</v>
      </c>
      <c r="O114" s="10">
        <v>172.97732000000002</v>
      </c>
      <c r="Q114" s="21">
        <v>2485.4</v>
      </c>
      <c r="R114" s="21">
        <v>2000.95</v>
      </c>
      <c r="S114" s="21">
        <v>2201.41</v>
      </c>
    </row>
    <row r="115" spans="1:19" x14ac:dyDescent="0.2">
      <c r="A115" s="9" t="s">
        <v>230</v>
      </c>
      <c r="B115" s="9" t="s">
        <v>231</v>
      </c>
      <c r="C115" s="9">
        <v>5</v>
      </c>
      <c r="D115" s="9">
        <v>0</v>
      </c>
      <c r="E115" s="9">
        <v>91</v>
      </c>
      <c r="F115" s="9">
        <f t="shared" si="1"/>
        <v>96</v>
      </c>
      <c r="H115" s="10">
        <v>186</v>
      </c>
      <c r="I115" s="10">
        <v>0</v>
      </c>
      <c r="J115" s="10">
        <v>122.82</v>
      </c>
      <c r="K115" s="10">
        <v>125.69</v>
      </c>
      <c r="M115" s="10">
        <v>301</v>
      </c>
      <c r="N115" s="10">
        <v>222.42932999999999</v>
      </c>
      <c r="O115" s="10">
        <v>226.00072</v>
      </c>
      <c r="Q115" s="21">
        <v>1646.02</v>
      </c>
      <c r="R115" s="21">
        <v>2036.05</v>
      </c>
      <c r="S115" s="21">
        <v>2018.32</v>
      </c>
    </row>
    <row r="116" spans="1:19" x14ac:dyDescent="0.2">
      <c r="A116" s="9" t="s">
        <v>232</v>
      </c>
      <c r="B116" s="9" t="s">
        <v>233</v>
      </c>
      <c r="C116" s="9">
        <v>48</v>
      </c>
      <c r="D116" s="9">
        <v>0</v>
      </c>
      <c r="E116" s="9">
        <v>98</v>
      </c>
      <c r="F116" s="9">
        <f t="shared" si="1"/>
        <v>146</v>
      </c>
      <c r="H116" s="10">
        <v>114.72</v>
      </c>
      <c r="I116" s="10">
        <v>0</v>
      </c>
      <c r="J116" s="10">
        <v>113.11</v>
      </c>
      <c r="K116" s="10">
        <v>113.69</v>
      </c>
      <c r="M116" s="10">
        <v>222.89084</v>
      </c>
      <c r="N116" s="10">
        <v>225.79074</v>
      </c>
      <c r="O116" s="10">
        <v>224.72495999999998</v>
      </c>
      <c r="Q116" s="21">
        <v>2238.67</v>
      </c>
      <c r="R116" s="21">
        <v>2189.5</v>
      </c>
      <c r="S116" s="21">
        <v>2207.5700000000002</v>
      </c>
    </row>
    <row r="117" spans="1:19" x14ac:dyDescent="0.2">
      <c r="A117" s="9" t="s">
        <v>234</v>
      </c>
      <c r="B117" s="9" t="s">
        <v>235</v>
      </c>
      <c r="C117" s="9">
        <v>27</v>
      </c>
      <c r="D117" s="9">
        <v>0</v>
      </c>
      <c r="E117" s="9">
        <v>138</v>
      </c>
      <c r="F117" s="9">
        <f t="shared" si="1"/>
        <v>165</v>
      </c>
      <c r="H117" s="10">
        <v>104.78</v>
      </c>
      <c r="I117" s="10">
        <v>0</v>
      </c>
      <c r="J117" s="10">
        <v>92.17</v>
      </c>
      <c r="K117" s="10">
        <v>94.3</v>
      </c>
      <c r="M117" s="10">
        <v>168.61856</v>
      </c>
      <c r="N117" s="10">
        <v>181.60863000000001</v>
      </c>
      <c r="O117" s="10">
        <v>179.32792999999998</v>
      </c>
      <c r="Q117" s="21">
        <v>1673.31</v>
      </c>
      <c r="R117" s="21">
        <v>2170.1799999999998</v>
      </c>
      <c r="S117" s="21">
        <v>2082.94</v>
      </c>
    </row>
    <row r="118" spans="1:19" x14ac:dyDescent="0.2">
      <c r="A118" s="9" t="s">
        <v>236</v>
      </c>
      <c r="B118" s="9" t="s">
        <v>237</v>
      </c>
      <c r="C118" s="9">
        <v>26</v>
      </c>
      <c r="D118" s="9">
        <v>0</v>
      </c>
      <c r="E118" s="9">
        <v>182</v>
      </c>
      <c r="F118" s="9">
        <f t="shared" si="1"/>
        <v>208</v>
      </c>
      <c r="H118" s="10">
        <v>105.36</v>
      </c>
      <c r="I118" s="10">
        <v>0</v>
      </c>
      <c r="J118" s="10">
        <v>117.47</v>
      </c>
      <c r="K118" s="10">
        <v>116.04</v>
      </c>
      <c r="M118" s="10">
        <v>105.28245</v>
      </c>
      <c r="N118" s="10">
        <v>123.74802000000001</v>
      </c>
      <c r="O118" s="10">
        <v>121.54017999999999</v>
      </c>
      <c r="Q118" s="21">
        <v>1164.42</v>
      </c>
      <c r="R118" s="21">
        <v>1181.82</v>
      </c>
      <c r="S118" s="21">
        <v>1179.74</v>
      </c>
    </row>
    <row r="119" spans="1:19" x14ac:dyDescent="0.2">
      <c r="A119" s="9" t="s">
        <v>238</v>
      </c>
      <c r="B119" s="9" t="s">
        <v>239</v>
      </c>
      <c r="C119" s="9">
        <v>64</v>
      </c>
      <c r="D119" s="9">
        <v>1</v>
      </c>
      <c r="E119" s="9">
        <v>310</v>
      </c>
      <c r="F119" s="9">
        <f t="shared" si="1"/>
        <v>375</v>
      </c>
      <c r="H119" s="10">
        <v>78.84</v>
      </c>
      <c r="I119" s="10">
        <v>84</v>
      </c>
      <c r="J119" s="10">
        <v>79.16</v>
      </c>
      <c r="K119" s="10">
        <v>79.12</v>
      </c>
      <c r="M119" s="10">
        <v>121.21014</v>
      </c>
      <c r="N119" s="10">
        <v>123.36994</v>
      </c>
      <c r="O119" s="10">
        <v>122.97259</v>
      </c>
      <c r="Q119" s="21">
        <v>1573.66</v>
      </c>
      <c r="R119" s="21">
        <v>1672.49</v>
      </c>
      <c r="S119" s="21">
        <v>1654.31</v>
      </c>
    </row>
    <row r="120" spans="1:19" x14ac:dyDescent="0.2">
      <c r="A120" s="9" t="s">
        <v>240</v>
      </c>
      <c r="B120" s="9" t="s">
        <v>241</v>
      </c>
      <c r="C120" s="9">
        <v>19</v>
      </c>
      <c r="D120" s="9">
        <v>3</v>
      </c>
      <c r="E120" s="9">
        <v>98</v>
      </c>
      <c r="F120" s="9">
        <f t="shared" si="1"/>
        <v>120</v>
      </c>
      <c r="H120" s="10">
        <v>99.21</v>
      </c>
      <c r="I120" s="10">
        <v>84.67</v>
      </c>
      <c r="J120" s="10">
        <v>89.06</v>
      </c>
      <c r="K120" s="10">
        <v>90.26</v>
      </c>
      <c r="M120" s="10">
        <v>159.29973000000001</v>
      </c>
      <c r="N120" s="10">
        <v>161.10135</v>
      </c>
      <c r="O120" s="10">
        <v>160.84398000000002</v>
      </c>
      <c r="Q120" s="21">
        <v>1860.91</v>
      </c>
      <c r="R120" s="21">
        <v>1898.6</v>
      </c>
      <c r="S120" s="21">
        <v>1893.22</v>
      </c>
    </row>
    <row r="121" spans="1:19" x14ac:dyDescent="0.2">
      <c r="A121" s="9" t="s">
        <v>242</v>
      </c>
      <c r="B121" s="9" t="s">
        <v>243</v>
      </c>
      <c r="C121" s="9">
        <v>46</v>
      </c>
      <c r="D121" s="9">
        <v>0</v>
      </c>
      <c r="E121" s="9">
        <v>447</v>
      </c>
      <c r="F121" s="9">
        <f t="shared" si="1"/>
        <v>493</v>
      </c>
      <c r="H121" s="10">
        <v>90.96</v>
      </c>
      <c r="I121" s="10">
        <v>0</v>
      </c>
      <c r="J121" s="10">
        <v>77.64</v>
      </c>
      <c r="K121" s="10">
        <v>79.010000000000005</v>
      </c>
      <c r="M121" s="10">
        <v>268.42791</v>
      </c>
      <c r="N121" s="10">
        <v>188.30432000000002</v>
      </c>
      <c r="O121" s="10">
        <v>196.76808</v>
      </c>
      <c r="Q121" s="21">
        <v>2996.58</v>
      </c>
      <c r="R121" s="21">
        <v>2495.52</v>
      </c>
      <c r="S121" s="21">
        <v>2548.4499999999998</v>
      </c>
    </row>
    <row r="122" spans="1:19" x14ac:dyDescent="0.2">
      <c r="A122" s="9" t="s">
        <v>244</v>
      </c>
      <c r="B122" s="9" t="s">
        <v>245</v>
      </c>
      <c r="C122" s="9">
        <v>3</v>
      </c>
      <c r="D122" s="9">
        <v>0</v>
      </c>
      <c r="E122" s="9">
        <v>128</v>
      </c>
      <c r="F122" s="9">
        <f t="shared" si="1"/>
        <v>131</v>
      </c>
      <c r="H122" s="10">
        <v>327.67</v>
      </c>
      <c r="I122" s="10">
        <v>0</v>
      </c>
      <c r="J122" s="10">
        <v>173.35</v>
      </c>
      <c r="K122" s="10">
        <v>177.34</v>
      </c>
      <c r="M122" s="10">
        <v>558.33332999999993</v>
      </c>
      <c r="N122" s="10">
        <v>411.23057</v>
      </c>
      <c r="O122" s="10">
        <v>415.00243999999998</v>
      </c>
      <c r="Q122" s="21">
        <v>1618.17</v>
      </c>
      <c r="R122" s="21">
        <v>2756.75</v>
      </c>
      <c r="S122" s="21">
        <v>2727.56</v>
      </c>
    </row>
    <row r="123" spans="1:19" x14ac:dyDescent="0.2">
      <c r="A123" s="9" t="s">
        <v>246</v>
      </c>
      <c r="B123" s="9" t="s">
        <v>247</v>
      </c>
      <c r="C123" s="9">
        <v>11</v>
      </c>
      <c r="D123" s="9">
        <v>0</v>
      </c>
      <c r="E123" s="9">
        <v>281</v>
      </c>
      <c r="F123" s="9">
        <f t="shared" si="1"/>
        <v>292</v>
      </c>
      <c r="H123" s="10">
        <v>141.56</v>
      </c>
      <c r="I123" s="10">
        <v>0</v>
      </c>
      <c r="J123" s="10">
        <v>96.94</v>
      </c>
      <c r="K123" s="10">
        <v>98.49</v>
      </c>
      <c r="M123" s="10">
        <v>628.51274000000001</v>
      </c>
      <c r="N123" s="10">
        <v>264.77873</v>
      </c>
      <c r="O123" s="10">
        <v>277.41813999999999</v>
      </c>
      <c r="Q123" s="21">
        <v>4287.75</v>
      </c>
      <c r="R123" s="21">
        <v>2882.61</v>
      </c>
      <c r="S123" s="21">
        <v>2931.44</v>
      </c>
    </row>
    <row r="124" spans="1:19" x14ac:dyDescent="0.2">
      <c r="A124" s="9" t="s">
        <v>248</v>
      </c>
      <c r="B124" s="9" t="s">
        <v>249</v>
      </c>
      <c r="C124" s="9">
        <v>7</v>
      </c>
      <c r="D124" s="9">
        <v>0</v>
      </c>
      <c r="E124" s="9">
        <v>83</v>
      </c>
      <c r="F124" s="9">
        <f t="shared" si="1"/>
        <v>90</v>
      </c>
      <c r="H124" s="10">
        <v>167.33</v>
      </c>
      <c r="I124" s="10">
        <v>0</v>
      </c>
      <c r="J124" s="10">
        <v>96.09</v>
      </c>
      <c r="K124" s="10">
        <v>101.3</v>
      </c>
      <c r="M124" s="10">
        <v>312.83332999999999</v>
      </c>
      <c r="N124" s="10">
        <v>188.31834000000001</v>
      </c>
      <c r="O124" s="10">
        <v>197.54167000000001</v>
      </c>
      <c r="Q124" s="21">
        <v>1809.02</v>
      </c>
      <c r="R124" s="21">
        <v>1974.26</v>
      </c>
      <c r="S124" s="21">
        <v>1962.02</v>
      </c>
    </row>
    <row r="125" spans="1:19" x14ac:dyDescent="0.2">
      <c r="A125" s="9" t="s">
        <v>250</v>
      </c>
      <c r="B125" s="9" t="s">
        <v>251</v>
      </c>
      <c r="C125" s="9">
        <v>73</v>
      </c>
      <c r="D125" s="9">
        <v>30</v>
      </c>
      <c r="E125" s="9">
        <v>1175</v>
      </c>
      <c r="F125" s="9">
        <f t="shared" si="1"/>
        <v>1278</v>
      </c>
      <c r="H125" s="10">
        <v>115.73</v>
      </c>
      <c r="I125" s="10">
        <v>77.760000000000005</v>
      </c>
      <c r="J125" s="10">
        <v>85.22</v>
      </c>
      <c r="K125" s="10">
        <v>86.87</v>
      </c>
      <c r="M125" s="10">
        <v>140.01401000000001</v>
      </c>
      <c r="N125" s="10">
        <v>96.20693</v>
      </c>
      <c r="O125" s="10">
        <v>99.223590000000002</v>
      </c>
      <c r="Q125" s="21">
        <v>1177.4000000000001</v>
      </c>
      <c r="R125" s="21">
        <v>1105.05</v>
      </c>
      <c r="S125" s="21">
        <v>1110.03</v>
      </c>
    </row>
    <row r="126" spans="1:19" x14ac:dyDescent="0.2">
      <c r="A126" s="9" t="s">
        <v>252</v>
      </c>
      <c r="B126" s="9" t="s">
        <v>253</v>
      </c>
      <c r="C126" s="9">
        <v>16</v>
      </c>
      <c r="D126" s="9">
        <v>0</v>
      </c>
      <c r="E126" s="9">
        <v>59</v>
      </c>
      <c r="F126" s="9">
        <f t="shared" si="1"/>
        <v>75</v>
      </c>
      <c r="H126" s="10">
        <v>58.38</v>
      </c>
      <c r="I126" s="10">
        <v>0</v>
      </c>
      <c r="J126" s="10">
        <v>81.45</v>
      </c>
      <c r="K126" s="10">
        <v>78.209999999999994</v>
      </c>
      <c r="M126" s="10">
        <v>70.875</v>
      </c>
      <c r="N126" s="10">
        <v>103.30546000000001</v>
      </c>
      <c r="O126" s="10">
        <v>98.753820000000005</v>
      </c>
      <c r="Q126" s="21">
        <v>1174.24</v>
      </c>
      <c r="R126" s="21">
        <v>1389.28</v>
      </c>
      <c r="S126" s="21">
        <v>1359.1</v>
      </c>
    </row>
    <row r="127" spans="1:19" x14ac:dyDescent="0.2">
      <c r="A127" s="9" t="s">
        <v>254</v>
      </c>
      <c r="B127" s="9" t="s">
        <v>255</v>
      </c>
      <c r="C127" s="9">
        <v>22</v>
      </c>
      <c r="D127" s="9">
        <v>1</v>
      </c>
      <c r="E127" s="9">
        <v>334</v>
      </c>
      <c r="F127" s="9">
        <f t="shared" si="1"/>
        <v>357</v>
      </c>
      <c r="H127" s="10">
        <v>86.16</v>
      </c>
      <c r="I127" s="10">
        <v>85</v>
      </c>
      <c r="J127" s="10">
        <v>79.400000000000006</v>
      </c>
      <c r="K127" s="10">
        <v>79.790000000000006</v>
      </c>
      <c r="M127" s="10">
        <v>175.99302</v>
      </c>
      <c r="N127" s="10">
        <v>198.55314999999999</v>
      </c>
      <c r="O127" s="10">
        <v>197.25816</v>
      </c>
      <c r="Q127" s="21">
        <v>2141.91</v>
      </c>
      <c r="R127" s="21">
        <v>2484.52</v>
      </c>
      <c r="S127" s="21">
        <v>2464.85</v>
      </c>
    </row>
    <row r="128" spans="1:19" x14ac:dyDescent="0.2">
      <c r="A128" s="9" t="s">
        <v>256</v>
      </c>
      <c r="B128" s="9" t="s">
        <v>257</v>
      </c>
      <c r="C128" s="9">
        <v>14</v>
      </c>
      <c r="D128" s="9">
        <v>0</v>
      </c>
      <c r="E128" s="9">
        <v>34</v>
      </c>
      <c r="F128" s="9">
        <f t="shared" si="1"/>
        <v>48</v>
      </c>
      <c r="H128" s="10">
        <v>114.67</v>
      </c>
      <c r="I128" s="10">
        <v>0</v>
      </c>
      <c r="J128" s="10">
        <v>102.94</v>
      </c>
      <c r="K128" s="10">
        <v>105.45</v>
      </c>
      <c r="M128" s="10">
        <v>83.577780000000004</v>
      </c>
      <c r="N128" s="10">
        <v>119.96946000000001</v>
      </c>
      <c r="O128" s="10">
        <v>111.11743</v>
      </c>
      <c r="Q128" s="21">
        <v>840.33</v>
      </c>
      <c r="R128" s="21">
        <v>1235.0899999999999</v>
      </c>
      <c r="S128" s="21">
        <v>1139.07</v>
      </c>
    </row>
    <row r="129" spans="1:19" x14ac:dyDescent="0.2">
      <c r="A129" s="9" t="s">
        <v>258</v>
      </c>
      <c r="B129" s="9" t="s">
        <v>259</v>
      </c>
      <c r="C129" s="9">
        <v>10</v>
      </c>
      <c r="D129" s="9">
        <v>0</v>
      </c>
      <c r="E129" s="9">
        <v>114</v>
      </c>
      <c r="F129" s="9">
        <f t="shared" si="1"/>
        <v>124</v>
      </c>
      <c r="H129" s="10">
        <v>155</v>
      </c>
      <c r="I129" s="10">
        <v>0</v>
      </c>
      <c r="J129" s="10">
        <v>136.78</v>
      </c>
      <c r="K129" s="10">
        <v>138.28</v>
      </c>
      <c r="M129" s="10">
        <v>196.30254000000002</v>
      </c>
      <c r="N129" s="10">
        <v>245.27819</v>
      </c>
      <c r="O129" s="10">
        <v>241.11987999999999</v>
      </c>
      <c r="Q129" s="21">
        <v>1298.58</v>
      </c>
      <c r="R129" s="21">
        <v>1924.15</v>
      </c>
      <c r="S129" s="21">
        <v>1871.04</v>
      </c>
    </row>
    <row r="130" spans="1:19" x14ac:dyDescent="0.2">
      <c r="A130" s="9" t="s">
        <v>260</v>
      </c>
      <c r="B130" s="9" t="s">
        <v>261</v>
      </c>
      <c r="C130" s="9">
        <v>21</v>
      </c>
      <c r="D130" s="9">
        <v>0</v>
      </c>
      <c r="E130" s="9">
        <v>77</v>
      </c>
      <c r="F130" s="9">
        <f t="shared" si="1"/>
        <v>98</v>
      </c>
      <c r="H130" s="10">
        <v>118.19</v>
      </c>
      <c r="I130" s="10">
        <v>0</v>
      </c>
      <c r="J130" s="10">
        <v>96.71</v>
      </c>
      <c r="K130" s="10">
        <v>101.51</v>
      </c>
      <c r="M130" s="10">
        <v>111.10519000000001</v>
      </c>
      <c r="N130" s="10">
        <v>121.57975999999999</v>
      </c>
      <c r="O130" s="10">
        <v>119.18883</v>
      </c>
      <c r="Q130" s="21">
        <v>1067.01</v>
      </c>
      <c r="R130" s="21">
        <v>1384.92</v>
      </c>
      <c r="S130" s="21">
        <v>1312.35</v>
      </c>
    </row>
    <row r="131" spans="1:19" x14ac:dyDescent="0.2">
      <c r="A131" s="9" t="s">
        <v>262</v>
      </c>
      <c r="B131" s="9" t="s">
        <v>263</v>
      </c>
      <c r="C131" s="9">
        <v>1</v>
      </c>
      <c r="D131" s="9">
        <v>0</v>
      </c>
      <c r="E131" s="9">
        <v>92</v>
      </c>
      <c r="F131" s="9">
        <f t="shared" si="1"/>
        <v>93</v>
      </c>
      <c r="H131" s="10">
        <v>0</v>
      </c>
      <c r="I131" s="10">
        <v>0</v>
      </c>
      <c r="J131" s="10">
        <v>89.23</v>
      </c>
      <c r="K131" s="10">
        <v>89.23</v>
      </c>
      <c r="M131" s="10">
        <v>0</v>
      </c>
      <c r="N131" s="10">
        <v>80.571160000000006</v>
      </c>
      <c r="O131" s="10">
        <v>80.571160000000006</v>
      </c>
      <c r="Q131" s="21">
        <v>0</v>
      </c>
      <c r="R131" s="21">
        <v>909.55</v>
      </c>
      <c r="S131" s="21">
        <v>909.55</v>
      </c>
    </row>
    <row r="132" spans="1:19" x14ac:dyDescent="0.2">
      <c r="A132" s="9" t="s">
        <v>264</v>
      </c>
      <c r="B132" s="9" t="s">
        <v>265</v>
      </c>
      <c r="C132" s="9">
        <v>0</v>
      </c>
      <c r="D132" s="9">
        <v>0</v>
      </c>
      <c r="E132" s="9">
        <v>47</v>
      </c>
      <c r="F132" s="9">
        <f t="shared" si="1"/>
        <v>47</v>
      </c>
      <c r="H132" s="10">
        <v>0</v>
      </c>
      <c r="I132" s="10">
        <v>0</v>
      </c>
      <c r="J132" s="10">
        <v>94.22</v>
      </c>
      <c r="K132" s="10">
        <v>94.22</v>
      </c>
      <c r="M132" s="10">
        <v>0</v>
      </c>
      <c r="N132" s="10">
        <v>71.680289999999999</v>
      </c>
      <c r="O132" s="10">
        <v>71.680289999999999</v>
      </c>
      <c r="Q132" s="21">
        <v>0</v>
      </c>
      <c r="R132" s="21">
        <v>744.31</v>
      </c>
      <c r="S132" s="21">
        <v>744.31</v>
      </c>
    </row>
    <row r="133" spans="1:19" x14ac:dyDescent="0.2">
      <c r="A133" s="9" t="s">
        <v>266</v>
      </c>
      <c r="B133" s="9" t="s">
        <v>267</v>
      </c>
      <c r="C133" s="9">
        <v>8</v>
      </c>
      <c r="D133" s="9">
        <v>0</v>
      </c>
      <c r="E133" s="9">
        <v>722</v>
      </c>
      <c r="F133" s="9">
        <f t="shared" si="1"/>
        <v>730</v>
      </c>
      <c r="H133" s="10">
        <v>108.5</v>
      </c>
      <c r="I133" s="10">
        <v>0</v>
      </c>
      <c r="J133" s="10">
        <v>68.47</v>
      </c>
      <c r="K133" s="10">
        <v>68.97</v>
      </c>
      <c r="M133" s="10">
        <v>338.75</v>
      </c>
      <c r="N133" s="10">
        <v>153.70678000000001</v>
      </c>
      <c r="O133" s="10">
        <v>156.02343999999999</v>
      </c>
      <c r="Q133" s="21">
        <v>3059.33</v>
      </c>
      <c r="R133" s="21">
        <v>2336.02</v>
      </c>
      <c r="S133" s="21">
        <v>2345.08</v>
      </c>
    </row>
    <row r="134" spans="1:19" x14ac:dyDescent="0.2">
      <c r="A134" s="9" t="s">
        <v>268</v>
      </c>
      <c r="B134" s="9" t="s">
        <v>269</v>
      </c>
      <c r="C134" s="9">
        <v>114</v>
      </c>
      <c r="D134" s="9">
        <v>3</v>
      </c>
      <c r="E134" s="9">
        <v>696</v>
      </c>
      <c r="F134" s="9">
        <f t="shared" si="1"/>
        <v>813</v>
      </c>
      <c r="H134" s="10">
        <v>102.83</v>
      </c>
      <c r="I134" s="10">
        <v>0</v>
      </c>
      <c r="J134" s="10">
        <v>94.51</v>
      </c>
      <c r="K134" s="10">
        <v>95.68</v>
      </c>
      <c r="M134" s="10">
        <v>191.24447000000001</v>
      </c>
      <c r="N134" s="10">
        <v>168.29067999999998</v>
      </c>
      <c r="O134" s="10">
        <v>171.68302</v>
      </c>
      <c r="Q134" s="21">
        <v>2051.2600000000002</v>
      </c>
      <c r="R134" s="21">
        <v>1895.33</v>
      </c>
      <c r="S134" s="21">
        <v>1918.37</v>
      </c>
    </row>
    <row r="135" spans="1:19" x14ac:dyDescent="0.2">
      <c r="A135" s="9" t="s">
        <v>270</v>
      </c>
      <c r="B135" s="9" t="s">
        <v>271</v>
      </c>
      <c r="C135" s="9">
        <v>327</v>
      </c>
      <c r="D135" s="9">
        <v>36</v>
      </c>
      <c r="E135" s="9">
        <v>1891</v>
      </c>
      <c r="F135" s="9">
        <f t="shared" si="1"/>
        <v>2254</v>
      </c>
      <c r="H135" s="10">
        <v>93.72</v>
      </c>
      <c r="I135" s="10">
        <v>67.16</v>
      </c>
      <c r="J135" s="10">
        <v>91.46</v>
      </c>
      <c r="K135" s="10">
        <v>91.43</v>
      </c>
      <c r="M135" s="10">
        <v>189.37485000000001</v>
      </c>
      <c r="N135" s="10">
        <v>183.28561999999999</v>
      </c>
      <c r="O135" s="10">
        <v>184.26743999999999</v>
      </c>
      <c r="Q135" s="21">
        <v>2072.7800000000002</v>
      </c>
      <c r="R135" s="21">
        <v>2043.62</v>
      </c>
      <c r="S135" s="21">
        <v>2048.3200000000002</v>
      </c>
    </row>
    <row r="136" spans="1:19" x14ac:dyDescent="0.2">
      <c r="A136" s="9" t="s">
        <v>272</v>
      </c>
      <c r="B136" s="9" t="s">
        <v>273</v>
      </c>
      <c r="C136" s="9">
        <v>10</v>
      </c>
      <c r="D136" s="9">
        <v>0</v>
      </c>
      <c r="E136" s="9">
        <v>31</v>
      </c>
      <c r="F136" s="9">
        <f t="shared" ref="F136:F199" si="2">SUM(C136:E136)</f>
        <v>41</v>
      </c>
      <c r="H136" s="10">
        <v>88.56</v>
      </c>
      <c r="I136" s="10">
        <v>0</v>
      </c>
      <c r="J136" s="10">
        <v>90.52</v>
      </c>
      <c r="K136" s="10">
        <v>90.03</v>
      </c>
      <c r="M136" s="10">
        <v>59.3245</v>
      </c>
      <c r="N136" s="10">
        <v>71.528379999999999</v>
      </c>
      <c r="O136" s="10">
        <v>68.390240000000006</v>
      </c>
      <c r="Q136" s="21">
        <v>644.44000000000005</v>
      </c>
      <c r="R136" s="21">
        <v>790.46</v>
      </c>
      <c r="S136" s="21">
        <v>752.91</v>
      </c>
    </row>
    <row r="137" spans="1:19" x14ac:dyDescent="0.2">
      <c r="A137" s="9" t="s">
        <v>274</v>
      </c>
      <c r="B137" s="9" t="s">
        <v>275</v>
      </c>
      <c r="C137" s="9">
        <v>93</v>
      </c>
      <c r="D137" s="9">
        <v>0</v>
      </c>
      <c r="E137" s="9">
        <v>828</v>
      </c>
      <c r="F137" s="9">
        <f t="shared" si="2"/>
        <v>921</v>
      </c>
      <c r="H137" s="10">
        <v>68.62</v>
      </c>
      <c r="I137" s="10">
        <v>0</v>
      </c>
      <c r="J137" s="10">
        <v>61.67</v>
      </c>
      <c r="K137" s="10">
        <v>62.36</v>
      </c>
      <c r="M137" s="10">
        <v>124.03883</v>
      </c>
      <c r="N137" s="10">
        <v>109.69972</v>
      </c>
      <c r="O137" s="10">
        <v>111.14024999999999</v>
      </c>
      <c r="Q137" s="21">
        <v>1827.05</v>
      </c>
      <c r="R137" s="21">
        <v>1829.99</v>
      </c>
      <c r="S137" s="21">
        <v>1829.69</v>
      </c>
    </row>
    <row r="138" spans="1:19" x14ac:dyDescent="0.2">
      <c r="A138" s="9" t="s">
        <v>276</v>
      </c>
      <c r="B138" s="9" t="s">
        <v>277</v>
      </c>
      <c r="C138" s="9">
        <v>70</v>
      </c>
      <c r="D138" s="9">
        <v>9</v>
      </c>
      <c r="E138" s="9">
        <v>276</v>
      </c>
      <c r="F138" s="9">
        <f t="shared" si="2"/>
        <v>355</v>
      </c>
      <c r="H138" s="10">
        <v>82.54</v>
      </c>
      <c r="I138" s="10">
        <v>68.569999999999993</v>
      </c>
      <c r="J138" s="10">
        <v>81.430000000000007</v>
      </c>
      <c r="K138" s="10">
        <v>81.38</v>
      </c>
      <c r="M138" s="10">
        <v>109.0303</v>
      </c>
      <c r="N138" s="10">
        <v>87.288179999999997</v>
      </c>
      <c r="O138" s="10">
        <v>92.786190000000005</v>
      </c>
      <c r="Q138" s="21">
        <v>1403.39</v>
      </c>
      <c r="R138" s="21">
        <v>1051.8699999999999</v>
      </c>
      <c r="S138" s="21">
        <v>1140.76</v>
      </c>
    </row>
    <row r="139" spans="1:19" x14ac:dyDescent="0.2">
      <c r="A139" s="9" t="s">
        <v>278</v>
      </c>
      <c r="B139" s="9" t="s">
        <v>279</v>
      </c>
      <c r="C139" s="9">
        <v>11</v>
      </c>
      <c r="D139" s="9">
        <v>2</v>
      </c>
      <c r="E139" s="9">
        <v>215</v>
      </c>
      <c r="F139" s="9">
        <f t="shared" si="2"/>
        <v>228</v>
      </c>
      <c r="H139" s="10">
        <v>77.55</v>
      </c>
      <c r="I139" s="10">
        <v>99</v>
      </c>
      <c r="J139" s="10">
        <v>77.61</v>
      </c>
      <c r="K139" s="10">
        <v>77.819999999999993</v>
      </c>
      <c r="M139" s="10">
        <v>235.52989000000002</v>
      </c>
      <c r="N139" s="10">
        <v>229.24131</v>
      </c>
      <c r="O139" s="10">
        <v>229.95445000000001</v>
      </c>
      <c r="Q139" s="21">
        <v>3013.64</v>
      </c>
      <c r="R139" s="21">
        <v>2636.19</v>
      </c>
      <c r="S139" s="21">
        <v>2678.99</v>
      </c>
    </row>
    <row r="140" spans="1:19" x14ac:dyDescent="0.2">
      <c r="A140" s="9" t="s">
        <v>280</v>
      </c>
      <c r="B140" s="9" t="s">
        <v>281</v>
      </c>
      <c r="C140" s="9">
        <v>0</v>
      </c>
      <c r="D140" s="9">
        <v>0</v>
      </c>
      <c r="E140" s="9">
        <v>211</v>
      </c>
      <c r="F140" s="9">
        <f t="shared" si="2"/>
        <v>211</v>
      </c>
      <c r="H140" s="10">
        <v>0</v>
      </c>
      <c r="I140" s="10">
        <v>0</v>
      </c>
      <c r="J140" s="10">
        <v>86.62</v>
      </c>
      <c r="K140" s="10">
        <v>86.62</v>
      </c>
      <c r="M140" s="10">
        <v>0</v>
      </c>
      <c r="N140" s="10">
        <v>166.99079999999998</v>
      </c>
      <c r="O140" s="10">
        <v>166.99079999999998</v>
      </c>
      <c r="Q140" s="21">
        <v>0</v>
      </c>
      <c r="R140" s="21">
        <v>2035.68</v>
      </c>
      <c r="S140" s="21">
        <v>2035.68</v>
      </c>
    </row>
    <row r="141" spans="1:19" x14ac:dyDescent="0.2">
      <c r="A141" s="9" t="s">
        <v>282</v>
      </c>
      <c r="B141" s="9" t="s">
        <v>283</v>
      </c>
      <c r="C141" s="9">
        <v>48</v>
      </c>
      <c r="D141" s="9">
        <v>0</v>
      </c>
      <c r="E141" s="9">
        <v>129</v>
      </c>
      <c r="F141" s="9">
        <f t="shared" si="2"/>
        <v>177</v>
      </c>
      <c r="H141" s="10">
        <v>123.13</v>
      </c>
      <c r="I141" s="10">
        <v>0</v>
      </c>
      <c r="J141" s="10">
        <v>127.3</v>
      </c>
      <c r="K141" s="10">
        <v>125.87</v>
      </c>
      <c r="M141" s="10">
        <v>328.16602</v>
      </c>
      <c r="N141" s="10">
        <v>306.62511000000001</v>
      </c>
      <c r="O141" s="10">
        <v>314.02465999999998</v>
      </c>
      <c r="Q141" s="21">
        <v>3501.41</v>
      </c>
      <c r="R141" s="21">
        <v>2583.75</v>
      </c>
      <c r="S141" s="21">
        <v>2898.98</v>
      </c>
    </row>
    <row r="142" spans="1:19" x14ac:dyDescent="0.2">
      <c r="A142" s="9" t="s">
        <v>284</v>
      </c>
      <c r="B142" s="9" t="s">
        <v>285</v>
      </c>
      <c r="C142" s="9">
        <v>2</v>
      </c>
      <c r="D142" s="9">
        <v>0</v>
      </c>
      <c r="E142" s="9">
        <v>55</v>
      </c>
      <c r="F142" s="9">
        <f t="shared" si="2"/>
        <v>57</v>
      </c>
      <c r="H142" s="10">
        <v>205</v>
      </c>
      <c r="I142" s="10">
        <v>0</v>
      </c>
      <c r="J142" s="10">
        <v>154.38</v>
      </c>
      <c r="K142" s="10">
        <v>156.33000000000001</v>
      </c>
      <c r="M142" s="10">
        <v>0</v>
      </c>
      <c r="N142" s="10">
        <v>213.90606</v>
      </c>
      <c r="O142" s="10">
        <v>212.38032999999999</v>
      </c>
      <c r="Q142" s="21">
        <v>0</v>
      </c>
      <c r="R142" s="21">
        <v>1543.53</v>
      </c>
      <c r="S142" s="21">
        <v>1516.02</v>
      </c>
    </row>
    <row r="143" spans="1:19" x14ac:dyDescent="0.2">
      <c r="A143" s="9" t="s">
        <v>286</v>
      </c>
      <c r="B143" s="9" t="s">
        <v>287</v>
      </c>
      <c r="C143" s="9">
        <v>159</v>
      </c>
      <c r="D143" s="9">
        <v>0</v>
      </c>
      <c r="E143" s="9">
        <v>413</v>
      </c>
      <c r="F143" s="9">
        <f t="shared" si="2"/>
        <v>572</v>
      </c>
      <c r="H143" s="10">
        <v>95.89</v>
      </c>
      <c r="I143" s="10">
        <v>0</v>
      </c>
      <c r="J143" s="10">
        <v>77.84</v>
      </c>
      <c r="K143" s="10">
        <v>82.23</v>
      </c>
      <c r="M143" s="10">
        <v>258.63643999999999</v>
      </c>
      <c r="N143" s="10">
        <v>175.86539999999999</v>
      </c>
      <c r="O143" s="10">
        <v>197.19161</v>
      </c>
      <c r="Q143" s="21">
        <v>2771.9</v>
      </c>
      <c r="R143" s="21">
        <v>2338.4299999999998</v>
      </c>
      <c r="S143" s="21">
        <v>2450.11</v>
      </c>
    </row>
    <row r="144" spans="1:19" x14ac:dyDescent="0.2">
      <c r="A144" s="9" t="s">
        <v>288</v>
      </c>
      <c r="B144" s="9" t="s">
        <v>289</v>
      </c>
      <c r="C144" s="9">
        <v>1</v>
      </c>
      <c r="D144" s="9">
        <v>0</v>
      </c>
      <c r="E144" s="9">
        <v>254</v>
      </c>
      <c r="F144" s="9">
        <f t="shared" si="2"/>
        <v>255</v>
      </c>
      <c r="H144" s="10">
        <v>92</v>
      </c>
      <c r="I144" s="10">
        <v>0</v>
      </c>
      <c r="J144" s="10">
        <v>77.58</v>
      </c>
      <c r="K144" s="10">
        <v>77.64</v>
      </c>
      <c r="M144" s="10">
        <v>0</v>
      </c>
      <c r="N144" s="10">
        <v>68.986869999999996</v>
      </c>
      <c r="O144" s="10">
        <v>69.053309999999996</v>
      </c>
      <c r="Q144" s="21">
        <v>0</v>
      </c>
      <c r="R144" s="21">
        <v>906.83</v>
      </c>
      <c r="S144" s="21">
        <v>906.9</v>
      </c>
    </row>
    <row r="145" spans="1:19" x14ac:dyDescent="0.2">
      <c r="A145" s="9" t="s">
        <v>290</v>
      </c>
      <c r="B145" s="9" t="s">
        <v>291</v>
      </c>
      <c r="C145" s="9">
        <v>23</v>
      </c>
      <c r="D145" s="9">
        <v>0</v>
      </c>
      <c r="E145" s="9">
        <v>119</v>
      </c>
      <c r="F145" s="9">
        <f t="shared" si="2"/>
        <v>142</v>
      </c>
      <c r="H145" s="10">
        <v>101.24</v>
      </c>
      <c r="I145" s="10">
        <v>0</v>
      </c>
      <c r="J145" s="10">
        <v>111.16</v>
      </c>
      <c r="K145" s="10">
        <v>109.65</v>
      </c>
      <c r="M145" s="10">
        <v>161.00204000000002</v>
      </c>
      <c r="N145" s="10">
        <v>134.03572</v>
      </c>
      <c r="O145" s="10">
        <v>138.16924</v>
      </c>
      <c r="Q145" s="21">
        <v>1633.94</v>
      </c>
      <c r="R145" s="21">
        <v>1344.59</v>
      </c>
      <c r="S145" s="21">
        <v>1388.94</v>
      </c>
    </row>
    <row r="146" spans="1:19" x14ac:dyDescent="0.2">
      <c r="A146" s="9" t="s">
        <v>292</v>
      </c>
      <c r="B146" s="9" t="s">
        <v>293</v>
      </c>
      <c r="C146" s="9">
        <v>368</v>
      </c>
      <c r="D146" s="9">
        <v>4</v>
      </c>
      <c r="E146" s="9">
        <v>799</v>
      </c>
      <c r="F146" s="9">
        <f t="shared" si="2"/>
        <v>1171</v>
      </c>
      <c r="H146" s="10">
        <v>119.45</v>
      </c>
      <c r="I146" s="10">
        <v>91</v>
      </c>
      <c r="J146" s="10">
        <v>117.52</v>
      </c>
      <c r="K146" s="10">
        <v>118.07</v>
      </c>
      <c r="M146" s="10">
        <v>418.45383000000004</v>
      </c>
      <c r="N146" s="10">
        <v>403.52909999999997</v>
      </c>
      <c r="O146" s="10">
        <v>408.68634000000003</v>
      </c>
      <c r="Q146" s="21">
        <v>3762.73</v>
      </c>
      <c r="R146" s="21">
        <v>3628.57</v>
      </c>
      <c r="S146" s="21">
        <v>3674.93</v>
      </c>
    </row>
    <row r="147" spans="1:19" x14ac:dyDescent="0.2">
      <c r="A147" s="9" t="s">
        <v>294</v>
      </c>
      <c r="B147" s="9" t="s">
        <v>295</v>
      </c>
      <c r="C147" s="9">
        <v>0</v>
      </c>
      <c r="D147" s="9">
        <v>0</v>
      </c>
      <c r="E147" s="9">
        <v>100</v>
      </c>
      <c r="F147" s="9">
        <f t="shared" si="2"/>
        <v>100</v>
      </c>
      <c r="H147" s="10">
        <v>0</v>
      </c>
      <c r="I147" s="10">
        <v>0</v>
      </c>
      <c r="J147" s="10">
        <v>167</v>
      </c>
      <c r="K147" s="10">
        <v>167</v>
      </c>
      <c r="M147" s="10">
        <v>0</v>
      </c>
      <c r="N147" s="10">
        <v>206.97673999999998</v>
      </c>
      <c r="O147" s="10">
        <v>206.97673999999998</v>
      </c>
      <c r="Q147" s="21">
        <v>0</v>
      </c>
      <c r="R147" s="21">
        <v>1496.66</v>
      </c>
      <c r="S147" s="21">
        <v>1496.66</v>
      </c>
    </row>
    <row r="148" spans="1:19" x14ac:dyDescent="0.2">
      <c r="A148" s="9" t="s">
        <v>296</v>
      </c>
      <c r="B148" s="9" t="s">
        <v>297</v>
      </c>
      <c r="C148" s="9">
        <v>18</v>
      </c>
      <c r="D148" s="9">
        <v>0</v>
      </c>
      <c r="E148" s="9">
        <v>48</v>
      </c>
      <c r="F148" s="9">
        <f t="shared" si="2"/>
        <v>66</v>
      </c>
      <c r="H148" s="10">
        <v>83.33</v>
      </c>
      <c r="I148" s="10">
        <v>0</v>
      </c>
      <c r="J148" s="10">
        <v>132.22999999999999</v>
      </c>
      <c r="K148" s="10">
        <v>117.8</v>
      </c>
      <c r="M148" s="10">
        <v>96.25</v>
      </c>
      <c r="N148" s="10">
        <v>147.20325</v>
      </c>
      <c r="O148" s="10">
        <v>132.16785999999999</v>
      </c>
      <c r="Q148" s="21">
        <v>1260.43</v>
      </c>
      <c r="R148" s="21">
        <v>1290.6400000000001</v>
      </c>
      <c r="S148" s="21">
        <v>1281.73</v>
      </c>
    </row>
    <row r="149" spans="1:19" x14ac:dyDescent="0.2">
      <c r="A149" s="9" t="s">
        <v>298</v>
      </c>
      <c r="B149" s="9" t="s">
        <v>299</v>
      </c>
      <c r="C149" s="9">
        <v>5</v>
      </c>
      <c r="D149" s="9">
        <v>0</v>
      </c>
      <c r="E149" s="9">
        <v>324</v>
      </c>
      <c r="F149" s="9">
        <f t="shared" si="2"/>
        <v>329</v>
      </c>
      <c r="H149" s="10">
        <v>123.5</v>
      </c>
      <c r="I149" s="10">
        <v>0</v>
      </c>
      <c r="J149" s="10">
        <v>93.64</v>
      </c>
      <c r="K149" s="10">
        <v>94.03</v>
      </c>
      <c r="M149" s="10">
        <v>247.89745000000002</v>
      </c>
      <c r="N149" s="10">
        <v>178.10160999999999</v>
      </c>
      <c r="O149" s="10">
        <v>179.01397</v>
      </c>
      <c r="Q149" s="21">
        <v>1971.22</v>
      </c>
      <c r="R149" s="21">
        <v>1974.51</v>
      </c>
      <c r="S149" s="21">
        <v>1974.47</v>
      </c>
    </row>
    <row r="150" spans="1:19" x14ac:dyDescent="0.2">
      <c r="A150" s="9" t="s">
        <v>300</v>
      </c>
      <c r="B150" s="9" t="s">
        <v>301</v>
      </c>
      <c r="C150" s="9">
        <v>189</v>
      </c>
      <c r="D150" s="9">
        <v>13</v>
      </c>
      <c r="E150" s="9">
        <v>285</v>
      </c>
      <c r="F150" s="9">
        <f t="shared" si="2"/>
        <v>487</v>
      </c>
      <c r="H150" s="10">
        <v>100.21</v>
      </c>
      <c r="I150" s="10">
        <v>85.75</v>
      </c>
      <c r="J150" s="10">
        <v>86.54</v>
      </c>
      <c r="K150" s="10">
        <v>91.98</v>
      </c>
      <c r="M150" s="10">
        <v>285.33166999999997</v>
      </c>
      <c r="N150" s="10">
        <v>235.13201000000001</v>
      </c>
      <c r="O150" s="10">
        <v>256.01967999999999</v>
      </c>
      <c r="Q150" s="21">
        <v>2892.5</v>
      </c>
      <c r="R150" s="21">
        <v>2808.83</v>
      </c>
      <c r="S150" s="21">
        <v>2843.64</v>
      </c>
    </row>
    <row r="151" spans="1:19" x14ac:dyDescent="0.2">
      <c r="A151" s="9" t="s">
        <v>302</v>
      </c>
      <c r="B151" s="9" t="s">
        <v>303</v>
      </c>
      <c r="C151" s="9">
        <v>22</v>
      </c>
      <c r="D151" s="9">
        <v>0</v>
      </c>
      <c r="E151" s="9">
        <v>74</v>
      </c>
      <c r="F151" s="9">
        <f t="shared" si="2"/>
        <v>96</v>
      </c>
      <c r="H151" s="10">
        <v>140.05000000000001</v>
      </c>
      <c r="I151" s="10">
        <v>0</v>
      </c>
      <c r="J151" s="10">
        <v>179.21</v>
      </c>
      <c r="K151" s="10">
        <v>170.21</v>
      </c>
      <c r="M151" s="10">
        <v>240.98</v>
      </c>
      <c r="N151" s="10">
        <v>263.63544999999999</v>
      </c>
      <c r="O151" s="10">
        <v>258.4273</v>
      </c>
      <c r="Q151" s="21">
        <v>1987.23</v>
      </c>
      <c r="R151" s="21">
        <v>1660.24</v>
      </c>
      <c r="S151" s="21">
        <v>1735.41</v>
      </c>
    </row>
    <row r="152" spans="1:19" x14ac:dyDescent="0.2">
      <c r="A152" s="9" t="s">
        <v>304</v>
      </c>
      <c r="B152" s="9" t="s">
        <v>305</v>
      </c>
      <c r="C152" s="9">
        <v>19</v>
      </c>
      <c r="D152" s="9">
        <v>14</v>
      </c>
      <c r="E152" s="9">
        <v>48</v>
      </c>
      <c r="F152" s="9">
        <f t="shared" si="2"/>
        <v>81</v>
      </c>
      <c r="H152" s="10">
        <v>100.22</v>
      </c>
      <c r="I152" s="10">
        <v>83.46</v>
      </c>
      <c r="J152" s="10">
        <v>139.02000000000001</v>
      </c>
      <c r="K152" s="10">
        <v>120.81</v>
      </c>
      <c r="M152" s="10">
        <v>130.69668999999999</v>
      </c>
      <c r="N152" s="10">
        <v>183.04261</v>
      </c>
      <c r="O152" s="10">
        <v>168.45439999999999</v>
      </c>
      <c r="Q152" s="21">
        <v>1372.88</v>
      </c>
      <c r="R152" s="21">
        <v>1378.5</v>
      </c>
      <c r="S152" s="21">
        <v>1376.93</v>
      </c>
    </row>
    <row r="153" spans="1:19" x14ac:dyDescent="0.2">
      <c r="A153" s="9" t="s">
        <v>306</v>
      </c>
      <c r="B153" s="9" t="s">
        <v>307</v>
      </c>
      <c r="C153" s="9">
        <v>2</v>
      </c>
      <c r="D153" s="9">
        <v>0</v>
      </c>
      <c r="E153" s="9">
        <v>28</v>
      </c>
      <c r="F153" s="9">
        <f t="shared" si="2"/>
        <v>30</v>
      </c>
      <c r="H153" s="10">
        <v>135</v>
      </c>
      <c r="I153" s="10">
        <v>0</v>
      </c>
      <c r="J153" s="10">
        <v>115.88</v>
      </c>
      <c r="K153" s="10">
        <v>117.35</v>
      </c>
      <c r="M153" s="10">
        <v>0</v>
      </c>
      <c r="N153" s="10">
        <v>107.58182000000001</v>
      </c>
      <c r="O153" s="10">
        <v>102.7</v>
      </c>
      <c r="Q153" s="21">
        <v>0</v>
      </c>
      <c r="R153" s="21">
        <v>872.21</v>
      </c>
      <c r="S153" s="21">
        <v>828.95</v>
      </c>
    </row>
    <row r="154" spans="1:19" x14ac:dyDescent="0.2">
      <c r="A154" s="9" t="s">
        <v>308</v>
      </c>
      <c r="B154" s="9" t="s">
        <v>309</v>
      </c>
      <c r="C154" s="9">
        <v>6</v>
      </c>
      <c r="D154" s="9">
        <v>0</v>
      </c>
      <c r="E154" s="9">
        <v>56</v>
      </c>
      <c r="F154" s="9">
        <f t="shared" si="2"/>
        <v>62</v>
      </c>
      <c r="H154" s="10">
        <v>85</v>
      </c>
      <c r="I154" s="10">
        <v>0</v>
      </c>
      <c r="J154" s="10">
        <v>88.08</v>
      </c>
      <c r="K154" s="10">
        <v>87.79</v>
      </c>
      <c r="M154" s="10">
        <v>63.74</v>
      </c>
      <c r="N154" s="10">
        <v>98.433440000000004</v>
      </c>
      <c r="O154" s="10">
        <v>95.160470000000004</v>
      </c>
      <c r="Q154" s="21">
        <v>823.32</v>
      </c>
      <c r="R154" s="21">
        <v>1166.29</v>
      </c>
      <c r="S154" s="21">
        <v>1133.93</v>
      </c>
    </row>
    <row r="155" spans="1:19" x14ac:dyDescent="0.2">
      <c r="A155" s="9" t="s">
        <v>310</v>
      </c>
      <c r="B155" s="9" t="s">
        <v>311</v>
      </c>
      <c r="C155" s="9">
        <v>62</v>
      </c>
      <c r="D155" s="9">
        <v>1</v>
      </c>
      <c r="E155" s="9">
        <v>171</v>
      </c>
      <c r="F155" s="9">
        <f t="shared" si="2"/>
        <v>234</v>
      </c>
      <c r="H155" s="10">
        <v>73.319999999999993</v>
      </c>
      <c r="I155" s="10">
        <v>0</v>
      </c>
      <c r="J155" s="10">
        <v>82.45</v>
      </c>
      <c r="K155" s="10">
        <v>79.790000000000006</v>
      </c>
      <c r="M155" s="10">
        <v>201.33616000000001</v>
      </c>
      <c r="N155" s="10">
        <v>243.20361</v>
      </c>
      <c r="O155" s="10">
        <v>230.94972000000001</v>
      </c>
      <c r="Q155" s="21">
        <v>2666.03</v>
      </c>
      <c r="R155" s="21">
        <v>3023.5</v>
      </c>
      <c r="S155" s="21">
        <v>2918.87</v>
      </c>
    </row>
    <row r="156" spans="1:19" x14ac:dyDescent="0.2">
      <c r="A156" s="9" t="s">
        <v>312</v>
      </c>
      <c r="B156" s="9" t="s">
        <v>313</v>
      </c>
      <c r="C156" s="9">
        <v>229</v>
      </c>
      <c r="D156" s="9">
        <v>27</v>
      </c>
      <c r="E156" s="9">
        <v>101</v>
      </c>
      <c r="F156" s="9">
        <f t="shared" si="2"/>
        <v>357</v>
      </c>
      <c r="H156" s="10">
        <v>97.88</v>
      </c>
      <c r="I156" s="10">
        <v>80.94</v>
      </c>
      <c r="J156" s="10">
        <v>122.03</v>
      </c>
      <c r="K156" s="10">
        <v>103.52</v>
      </c>
      <c r="M156" s="10">
        <v>324.06781000000001</v>
      </c>
      <c r="N156" s="10">
        <v>434.25896</v>
      </c>
      <c r="O156" s="10">
        <v>353.65219999999999</v>
      </c>
      <c r="Q156" s="21">
        <v>3243.61</v>
      </c>
      <c r="R156" s="21">
        <v>3633.53</v>
      </c>
      <c r="S156" s="21">
        <v>3348.3</v>
      </c>
    </row>
    <row r="157" spans="1:19" x14ac:dyDescent="0.2">
      <c r="A157" s="9" t="s">
        <v>314</v>
      </c>
      <c r="B157" s="9" t="s">
        <v>315</v>
      </c>
      <c r="C157" s="9">
        <v>11</v>
      </c>
      <c r="D157" s="9">
        <v>0</v>
      </c>
      <c r="E157" s="9">
        <v>361</v>
      </c>
      <c r="F157" s="9">
        <f t="shared" si="2"/>
        <v>372</v>
      </c>
      <c r="H157" s="10">
        <v>131.25</v>
      </c>
      <c r="I157" s="10">
        <v>0</v>
      </c>
      <c r="J157" s="10">
        <v>100.17</v>
      </c>
      <c r="K157" s="10">
        <v>100.95</v>
      </c>
      <c r="M157" s="10">
        <v>203.26275000000001</v>
      </c>
      <c r="N157" s="10">
        <v>209.89117000000002</v>
      </c>
      <c r="O157" s="10">
        <v>209.71844000000002</v>
      </c>
      <c r="Q157" s="21">
        <v>1464.67</v>
      </c>
      <c r="R157" s="21">
        <v>2230.33</v>
      </c>
      <c r="S157" s="21">
        <v>2210.38</v>
      </c>
    </row>
    <row r="158" spans="1:19" x14ac:dyDescent="0.2">
      <c r="A158" s="9" t="s">
        <v>316</v>
      </c>
      <c r="B158" s="9" t="s">
        <v>317</v>
      </c>
      <c r="C158" s="9">
        <v>18</v>
      </c>
      <c r="D158" s="9">
        <v>0</v>
      </c>
      <c r="E158" s="9">
        <v>62</v>
      </c>
      <c r="F158" s="9">
        <f t="shared" si="2"/>
        <v>80</v>
      </c>
      <c r="H158" s="10">
        <v>93</v>
      </c>
      <c r="I158" s="10">
        <v>0</v>
      </c>
      <c r="J158" s="10">
        <v>111.4</v>
      </c>
      <c r="K158" s="10">
        <v>107.53</v>
      </c>
      <c r="M158" s="10">
        <v>269.01224999999999</v>
      </c>
      <c r="N158" s="10">
        <v>260.69526000000002</v>
      </c>
      <c r="O158" s="10">
        <v>262.44621000000001</v>
      </c>
      <c r="Q158" s="21">
        <v>2907.96</v>
      </c>
      <c r="R158" s="21">
        <v>2521.83</v>
      </c>
      <c r="S158" s="21">
        <v>2603.12</v>
      </c>
    </row>
    <row r="159" spans="1:19" x14ac:dyDescent="0.2">
      <c r="A159" s="9" t="s">
        <v>318</v>
      </c>
      <c r="B159" s="9" t="s">
        <v>319</v>
      </c>
      <c r="C159" s="9">
        <v>8</v>
      </c>
      <c r="D159" s="9">
        <v>0</v>
      </c>
      <c r="E159" s="9">
        <v>161</v>
      </c>
      <c r="F159" s="9">
        <f t="shared" si="2"/>
        <v>169</v>
      </c>
      <c r="H159" s="10">
        <v>218</v>
      </c>
      <c r="I159" s="10">
        <v>0</v>
      </c>
      <c r="J159" s="10">
        <v>137.69</v>
      </c>
      <c r="K159" s="10">
        <v>141.91999999999999</v>
      </c>
      <c r="M159" s="10">
        <v>416.625</v>
      </c>
      <c r="N159" s="10">
        <v>325.71909000000005</v>
      </c>
      <c r="O159" s="10">
        <v>330.47234000000003</v>
      </c>
      <c r="Q159" s="21">
        <v>1965.45</v>
      </c>
      <c r="R159" s="21">
        <v>2723.21</v>
      </c>
      <c r="S159" s="21">
        <v>2683.59</v>
      </c>
    </row>
    <row r="160" spans="1:19" x14ac:dyDescent="0.2">
      <c r="A160" s="9" t="s">
        <v>320</v>
      </c>
      <c r="B160" s="9" t="s">
        <v>321</v>
      </c>
      <c r="C160" s="9">
        <v>22</v>
      </c>
      <c r="D160" s="9">
        <v>2</v>
      </c>
      <c r="E160" s="9">
        <v>52</v>
      </c>
      <c r="F160" s="9">
        <f t="shared" si="2"/>
        <v>76</v>
      </c>
      <c r="H160" s="10">
        <v>91.16</v>
      </c>
      <c r="I160" s="10">
        <v>66</v>
      </c>
      <c r="J160" s="10">
        <v>100.21</v>
      </c>
      <c r="K160" s="10">
        <v>96.88</v>
      </c>
      <c r="M160" s="10">
        <v>128.04096000000001</v>
      </c>
      <c r="N160" s="10">
        <v>160.50585000000001</v>
      </c>
      <c r="O160" s="10">
        <v>149.87079999999997</v>
      </c>
      <c r="Q160" s="21">
        <v>1397.43</v>
      </c>
      <c r="R160" s="21">
        <v>1654.53</v>
      </c>
      <c r="S160" s="21">
        <v>1570.31</v>
      </c>
    </row>
    <row r="161" spans="1:19" x14ac:dyDescent="0.2">
      <c r="A161" s="9" t="s">
        <v>322</v>
      </c>
      <c r="B161" s="9" t="s">
        <v>323</v>
      </c>
      <c r="C161" s="9">
        <v>25</v>
      </c>
      <c r="D161" s="9">
        <v>0</v>
      </c>
      <c r="E161" s="9">
        <v>96</v>
      </c>
      <c r="F161" s="9">
        <f t="shared" si="2"/>
        <v>121</v>
      </c>
      <c r="H161" s="10">
        <v>76.38</v>
      </c>
      <c r="I161" s="10">
        <v>0</v>
      </c>
      <c r="J161" s="10">
        <v>85</v>
      </c>
      <c r="K161" s="10">
        <v>83.14</v>
      </c>
      <c r="M161" s="10">
        <v>81.791669999999996</v>
      </c>
      <c r="N161" s="10">
        <v>106.89775</v>
      </c>
      <c r="O161" s="10">
        <v>101.42005999999999</v>
      </c>
      <c r="Q161" s="21">
        <v>1092.5</v>
      </c>
      <c r="R161" s="21">
        <v>1294.8599999999999</v>
      </c>
      <c r="S161" s="21">
        <v>1250.71</v>
      </c>
    </row>
    <row r="162" spans="1:19" x14ac:dyDescent="0.2">
      <c r="A162" s="9" t="s">
        <v>324</v>
      </c>
      <c r="B162" s="9" t="s">
        <v>325</v>
      </c>
      <c r="C162" s="9">
        <v>17</v>
      </c>
      <c r="D162" s="9">
        <v>0</v>
      </c>
      <c r="E162" s="9">
        <v>62</v>
      </c>
      <c r="F162" s="9">
        <f t="shared" si="2"/>
        <v>79</v>
      </c>
      <c r="H162" s="10">
        <v>105.86</v>
      </c>
      <c r="I162" s="10">
        <v>0</v>
      </c>
      <c r="J162" s="10">
        <v>150.04</v>
      </c>
      <c r="K162" s="10">
        <v>144.71</v>
      </c>
      <c r="M162" s="10">
        <v>236.71429000000001</v>
      </c>
      <c r="N162" s="10">
        <v>336.27502000000004</v>
      </c>
      <c r="O162" s="10">
        <v>324.25907000000001</v>
      </c>
      <c r="Q162" s="21">
        <v>2253.21</v>
      </c>
      <c r="R162" s="21">
        <v>2474.16</v>
      </c>
      <c r="S162" s="21">
        <v>2447.4899999999998</v>
      </c>
    </row>
    <row r="163" spans="1:19" x14ac:dyDescent="0.2">
      <c r="A163" s="9" t="s">
        <v>326</v>
      </c>
      <c r="B163" s="9" t="s">
        <v>327</v>
      </c>
      <c r="C163" s="9">
        <v>51</v>
      </c>
      <c r="D163" s="9">
        <v>2</v>
      </c>
      <c r="E163" s="9">
        <v>169</v>
      </c>
      <c r="F163" s="9">
        <f t="shared" si="2"/>
        <v>222</v>
      </c>
      <c r="H163" s="10">
        <v>114.49</v>
      </c>
      <c r="I163" s="10">
        <v>80</v>
      </c>
      <c r="J163" s="10">
        <v>102.8</v>
      </c>
      <c r="K163" s="10">
        <v>105.12</v>
      </c>
      <c r="M163" s="10">
        <v>170.03572</v>
      </c>
      <c r="N163" s="10">
        <v>180.69365999999999</v>
      </c>
      <c r="O163" s="10">
        <v>178.21083999999999</v>
      </c>
      <c r="Q163" s="21">
        <v>1605.66</v>
      </c>
      <c r="R163" s="21">
        <v>1948.28</v>
      </c>
      <c r="S163" s="21">
        <v>1868.47</v>
      </c>
    </row>
    <row r="164" spans="1:19" x14ac:dyDescent="0.2">
      <c r="A164" s="9" t="s">
        <v>328</v>
      </c>
      <c r="B164" s="9" t="s">
        <v>329</v>
      </c>
      <c r="C164" s="9">
        <v>4</v>
      </c>
      <c r="D164" s="9">
        <v>0</v>
      </c>
      <c r="E164" s="9">
        <v>52</v>
      </c>
      <c r="F164" s="9">
        <f t="shared" si="2"/>
        <v>56</v>
      </c>
      <c r="H164" s="10">
        <v>68.67</v>
      </c>
      <c r="I164" s="10">
        <v>0</v>
      </c>
      <c r="J164" s="10">
        <v>89.29</v>
      </c>
      <c r="K164" s="10">
        <v>87.78</v>
      </c>
      <c r="M164" s="10">
        <v>181.66667000000001</v>
      </c>
      <c r="N164" s="10">
        <v>208.53318999999999</v>
      </c>
      <c r="O164" s="10">
        <v>206.51820000000001</v>
      </c>
      <c r="Q164" s="21">
        <v>2665.8</v>
      </c>
      <c r="R164" s="21">
        <v>2356.7600000000002</v>
      </c>
      <c r="S164" s="21">
        <v>2379.94</v>
      </c>
    </row>
    <row r="165" spans="1:19" x14ac:dyDescent="0.2">
      <c r="A165" s="9" t="s">
        <v>330</v>
      </c>
      <c r="B165" s="9" t="s">
        <v>331</v>
      </c>
      <c r="C165" s="9">
        <v>11</v>
      </c>
      <c r="D165" s="9">
        <v>0</v>
      </c>
      <c r="E165" s="9">
        <v>107</v>
      </c>
      <c r="F165" s="9">
        <f t="shared" si="2"/>
        <v>118</v>
      </c>
      <c r="H165" s="10">
        <v>77.2</v>
      </c>
      <c r="I165" s="10">
        <v>0</v>
      </c>
      <c r="J165" s="10">
        <v>98.29</v>
      </c>
      <c r="K165" s="10">
        <v>96.34</v>
      </c>
      <c r="M165" s="10">
        <v>94.489000000000004</v>
      </c>
      <c r="N165" s="10">
        <v>108.88419999999999</v>
      </c>
      <c r="O165" s="10">
        <v>107.50005</v>
      </c>
      <c r="Q165" s="21">
        <v>1233.4000000000001</v>
      </c>
      <c r="R165" s="21">
        <v>1142.3</v>
      </c>
      <c r="S165" s="21">
        <v>1151.06</v>
      </c>
    </row>
    <row r="166" spans="1:19" x14ac:dyDescent="0.2">
      <c r="A166" s="9" t="s">
        <v>332</v>
      </c>
      <c r="B166" s="9" t="s">
        <v>333</v>
      </c>
      <c r="C166" s="9">
        <v>24</v>
      </c>
      <c r="D166" s="9">
        <v>0</v>
      </c>
      <c r="E166" s="9">
        <v>888</v>
      </c>
      <c r="F166" s="9">
        <f t="shared" si="2"/>
        <v>912</v>
      </c>
      <c r="H166" s="10">
        <v>91.95</v>
      </c>
      <c r="I166" s="10">
        <v>0</v>
      </c>
      <c r="J166" s="10">
        <v>65.2</v>
      </c>
      <c r="K166" s="10">
        <v>65.94</v>
      </c>
      <c r="M166" s="10">
        <v>187.29439000000002</v>
      </c>
      <c r="N166" s="10">
        <v>129.84363999999999</v>
      </c>
      <c r="O166" s="10">
        <v>131.62379999999999</v>
      </c>
      <c r="Q166" s="21">
        <v>2095.6999999999998</v>
      </c>
      <c r="R166" s="21">
        <v>2012.51</v>
      </c>
      <c r="S166" s="21">
        <v>2015.09</v>
      </c>
    </row>
    <row r="167" spans="1:19" x14ac:dyDescent="0.2">
      <c r="A167" s="9" t="s">
        <v>334</v>
      </c>
      <c r="B167" s="9" t="s">
        <v>335</v>
      </c>
      <c r="C167" s="9">
        <v>1</v>
      </c>
      <c r="D167" s="9">
        <v>0</v>
      </c>
      <c r="E167" s="9">
        <v>88</v>
      </c>
      <c r="F167" s="9">
        <f t="shared" si="2"/>
        <v>89</v>
      </c>
      <c r="H167" s="10">
        <v>62</v>
      </c>
      <c r="I167" s="10">
        <v>0</v>
      </c>
      <c r="J167" s="10">
        <v>136.94999999999999</v>
      </c>
      <c r="K167" s="10">
        <v>136.05000000000001</v>
      </c>
      <c r="M167" s="10">
        <v>0</v>
      </c>
      <c r="N167" s="10">
        <v>211.38346999999999</v>
      </c>
      <c r="O167" s="10">
        <v>209.68004999999999</v>
      </c>
      <c r="Q167" s="21">
        <v>0</v>
      </c>
      <c r="R167" s="21">
        <v>1751.96</v>
      </c>
      <c r="S167" s="21">
        <v>1744.45</v>
      </c>
    </row>
    <row r="168" spans="1:19" x14ac:dyDescent="0.2">
      <c r="A168" s="9" t="s">
        <v>336</v>
      </c>
      <c r="B168" s="9" t="s">
        <v>337</v>
      </c>
      <c r="C168" s="9">
        <v>19</v>
      </c>
      <c r="D168" s="9">
        <v>0</v>
      </c>
      <c r="E168" s="9">
        <v>71</v>
      </c>
      <c r="F168" s="9">
        <f t="shared" si="2"/>
        <v>90</v>
      </c>
      <c r="H168" s="10">
        <v>167.47</v>
      </c>
      <c r="I168" s="10">
        <v>0</v>
      </c>
      <c r="J168" s="10">
        <v>153.30000000000001</v>
      </c>
      <c r="K168" s="10">
        <v>156.1</v>
      </c>
      <c r="M168" s="10">
        <v>237.39010999999999</v>
      </c>
      <c r="N168" s="10">
        <v>212.60989999999998</v>
      </c>
      <c r="O168" s="10">
        <v>217.50830999999999</v>
      </c>
      <c r="Q168" s="21">
        <v>1549.02</v>
      </c>
      <c r="R168" s="21">
        <v>1525.96</v>
      </c>
      <c r="S168" s="21">
        <v>1530.52</v>
      </c>
    </row>
    <row r="169" spans="1:19" x14ac:dyDescent="0.2">
      <c r="A169" s="9" t="s">
        <v>338</v>
      </c>
      <c r="B169" s="9" t="s">
        <v>339</v>
      </c>
      <c r="C169" s="9">
        <v>16</v>
      </c>
      <c r="D169" s="9">
        <v>2</v>
      </c>
      <c r="E169" s="9">
        <v>84</v>
      </c>
      <c r="F169" s="9">
        <f t="shared" si="2"/>
        <v>102</v>
      </c>
      <c r="H169" s="10">
        <v>105.43</v>
      </c>
      <c r="I169" s="10">
        <v>78.5</v>
      </c>
      <c r="J169" s="10">
        <v>94.78</v>
      </c>
      <c r="K169" s="10">
        <v>96.15</v>
      </c>
      <c r="M169" s="10">
        <v>79.598669999999998</v>
      </c>
      <c r="N169" s="10">
        <v>73.619759999999999</v>
      </c>
      <c r="O169" s="10">
        <v>74.706829999999997</v>
      </c>
      <c r="Q169" s="21">
        <v>722.39</v>
      </c>
      <c r="R169" s="21">
        <v>815.78</v>
      </c>
      <c r="S169" s="21">
        <v>798.8</v>
      </c>
    </row>
    <row r="170" spans="1:19" x14ac:dyDescent="0.2">
      <c r="A170" s="9" t="s">
        <v>340</v>
      </c>
      <c r="B170" s="9" t="s">
        <v>341</v>
      </c>
      <c r="C170" s="9">
        <v>10</v>
      </c>
      <c r="D170" s="9">
        <v>0</v>
      </c>
      <c r="E170" s="9">
        <v>39</v>
      </c>
      <c r="F170" s="9">
        <f t="shared" si="2"/>
        <v>49</v>
      </c>
      <c r="H170" s="10">
        <v>146.1</v>
      </c>
      <c r="I170" s="10">
        <v>0</v>
      </c>
      <c r="J170" s="10">
        <v>99.18</v>
      </c>
      <c r="K170" s="10">
        <v>110.09</v>
      </c>
      <c r="M170" s="10">
        <v>186.21326000000002</v>
      </c>
      <c r="N170" s="10">
        <v>107.26006</v>
      </c>
      <c r="O170" s="10">
        <v>126.05844</v>
      </c>
      <c r="Q170" s="21">
        <v>1424.56</v>
      </c>
      <c r="R170" s="21">
        <v>1086.3599999999999</v>
      </c>
      <c r="S170" s="21">
        <v>1166.8800000000001</v>
      </c>
    </row>
    <row r="171" spans="1:19" x14ac:dyDescent="0.2">
      <c r="A171" s="9" t="s">
        <v>342</v>
      </c>
      <c r="B171" s="9" t="s">
        <v>343</v>
      </c>
      <c r="C171" s="9">
        <v>23</v>
      </c>
      <c r="D171" s="9">
        <v>0</v>
      </c>
      <c r="E171" s="9">
        <v>85</v>
      </c>
      <c r="F171" s="9">
        <f t="shared" si="2"/>
        <v>108</v>
      </c>
      <c r="H171" s="10">
        <v>104.95</v>
      </c>
      <c r="I171" s="10">
        <v>0</v>
      </c>
      <c r="J171" s="10">
        <v>162.11000000000001</v>
      </c>
      <c r="K171" s="10">
        <v>149.82</v>
      </c>
      <c r="M171" s="10">
        <v>159.60425000000001</v>
      </c>
      <c r="N171" s="10">
        <v>188.16535000000002</v>
      </c>
      <c r="O171" s="10">
        <v>181.95642000000001</v>
      </c>
      <c r="Q171" s="21">
        <v>1715.6</v>
      </c>
      <c r="R171" s="21">
        <v>1304.46</v>
      </c>
      <c r="S171" s="21">
        <v>1393.84</v>
      </c>
    </row>
    <row r="172" spans="1:19" x14ac:dyDescent="0.2">
      <c r="A172" s="9" t="s">
        <v>344</v>
      </c>
      <c r="B172" s="9" t="s">
        <v>345</v>
      </c>
      <c r="C172" s="9">
        <v>69</v>
      </c>
      <c r="D172" s="9">
        <v>4</v>
      </c>
      <c r="E172" s="9">
        <v>151</v>
      </c>
      <c r="F172" s="9">
        <f t="shared" si="2"/>
        <v>224</v>
      </c>
      <c r="H172" s="10">
        <v>87.05</v>
      </c>
      <c r="I172" s="10">
        <v>88</v>
      </c>
      <c r="J172" s="10">
        <v>102.45</v>
      </c>
      <c r="K172" s="10">
        <v>98.66</v>
      </c>
      <c r="M172" s="10">
        <v>153.13883999999999</v>
      </c>
      <c r="N172" s="10">
        <v>179.54561999999999</v>
      </c>
      <c r="O172" s="10">
        <v>173.14895000000001</v>
      </c>
      <c r="Q172" s="21">
        <v>1848.21</v>
      </c>
      <c r="R172" s="21">
        <v>1840.64</v>
      </c>
      <c r="S172" s="21">
        <v>1842.47</v>
      </c>
    </row>
    <row r="173" spans="1:19" x14ac:dyDescent="0.2">
      <c r="A173" s="9" t="s">
        <v>346</v>
      </c>
      <c r="B173" s="9" t="s">
        <v>347</v>
      </c>
      <c r="C173" s="9">
        <v>16</v>
      </c>
      <c r="D173" s="9">
        <v>1</v>
      </c>
      <c r="E173" s="9">
        <v>45</v>
      </c>
      <c r="F173" s="9">
        <f t="shared" si="2"/>
        <v>62</v>
      </c>
      <c r="H173" s="10">
        <v>114.79</v>
      </c>
      <c r="I173" s="10">
        <v>90</v>
      </c>
      <c r="J173" s="10">
        <v>92.81</v>
      </c>
      <c r="K173" s="10">
        <v>98.16</v>
      </c>
      <c r="M173" s="10">
        <v>120.11143</v>
      </c>
      <c r="N173" s="10">
        <v>119.85138000000001</v>
      </c>
      <c r="O173" s="10">
        <v>119.91638999999999</v>
      </c>
      <c r="Q173" s="21">
        <v>1116.3599999999999</v>
      </c>
      <c r="R173" s="21">
        <v>1524.62</v>
      </c>
      <c r="S173" s="21">
        <v>1422.55</v>
      </c>
    </row>
    <row r="174" spans="1:19" x14ac:dyDescent="0.2">
      <c r="A174" s="9" t="s">
        <v>348</v>
      </c>
      <c r="B174" s="9" t="s">
        <v>349</v>
      </c>
      <c r="C174" s="9">
        <v>13</v>
      </c>
      <c r="D174" s="9">
        <v>1</v>
      </c>
      <c r="E174" s="9">
        <v>36</v>
      </c>
      <c r="F174" s="9">
        <f t="shared" si="2"/>
        <v>50</v>
      </c>
      <c r="H174" s="10">
        <v>94.33</v>
      </c>
      <c r="I174" s="10">
        <v>110</v>
      </c>
      <c r="J174" s="10">
        <v>88.06</v>
      </c>
      <c r="K174" s="10">
        <v>90.04</v>
      </c>
      <c r="M174" s="10">
        <v>182.875</v>
      </c>
      <c r="N174" s="10">
        <v>128.68719999999999</v>
      </c>
      <c r="O174" s="10">
        <v>143.80938</v>
      </c>
      <c r="Q174" s="21">
        <v>1983.05</v>
      </c>
      <c r="R174" s="21">
        <v>1421.51</v>
      </c>
      <c r="S174" s="21">
        <v>1578.22</v>
      </c>
    </row>
    <row r="175" spans="1:19" x14ac:dyDescent="0.2">
      <c r="A175" s="9" t="s">
        <v>350</v>
      </c>
      <c r="B175" s="9" t="s">
        <v>351</v>
      </c>
      <c r="C175" s="9">
        <v>0</v>
      </c>
      <c r="D175" s="9">
        <v>0</v>
      </c>
      <c r="E175" s="9">
        <v>36</v>
      </c>
      <c r="F175" s="9">
        <f t="shared" si="2"/>
        <v>36</v>
      </c>
      <c r="H175" s="10">
        <v>0</v>
      </c>
      <c r="I175" s="10">
        <v>0</v>
      </c>
      <c r="J175" s="10">
        <v>134.82</v>
      </c>
      <c r="K175" s="10">
        <v>134.82</v>
      </c>
      <c r="M175" s="10">
        <v>0</v>
      </c>
      <c r="N175" s="10">
        <v>149.87967</v>
      </c>
      <c r="O175" s="10">
        <v>149.87967</v>
      </c>
      <c r="Q175" s="21">
        <v>0</v>
      </c>
      <c r="R175" s="21">
        <v>1147.7</v>
      </c>
      <c r="S175" s="21">
        <v>1147.7</v>
      </c>
    </row>
    <row r="176" spans="1:19" x14ac:dyDescent="0.2">
      <c r="A176" s="9" t="s">
        <v>352</v>
      </c>
      <c r="B176" s="9" t="s">
        <v>353</v>
      </c>
      <c r="C176" s="9">
        <v>2</v>
      </c>
      <c r="D176" s="9">
        <v>0</v>
      </c>
      <c r="E176" s="9">
        <v>25</v>
      </c>
      <c r="F176" s="9">
        <f t="shared" si="2"/>
        <v>27</v>
      </c>
      <c r="H176" s="10">
        <v>65</v>
      </c>
      <c r="I176" s="10">
        <v>0</v>
      </c>
      <c r="J176" s="10">
        <v>129.24</v>
      </c>
      <c r="K176" s="10">
        <v>122.48</v>
      </c>
      <c r="M176" s="10">
        <v>0</v>
      </c>
      <c r="N176" s="10">
        <v>76.520300000000006</v>
      </c>
      <c r="O176" s="10">
        <v>72.749740000000003</v>
      </c>
      <c r="Q176" s="21">
        <v>0</v>
      </c>
      <c r="R176" s="21">
        <v>649.33000000000004</v>
      </c>
      <c r="S176" s="21">
        <v>635.89</v>
      </c>
    </row>
    <row r="177" spans="1:19" x14ac:dyDescent="0.2">
      <c r="A177" s="9" t="s">
        <v>354</v>
      </c>
      <c r="B177" s="9" t="s">
        <v>355</v>
      </c>
      <c r="C177" s="9">
        <v>6</v>
      </c>
      <c r="D177" s="9">
        <v>0</v>
      </c>
      <c r="E177" s="9">
        <v>80</v>
      </c>
      <c r="F177" s="9">
        <f t="shared" si="2"/>
        <v>86</v>
      </c>
      <c r="H177" s="10">
        <v>95.83</v>
      </c>
      <c r="I177" s="10">
        <v>0</v>
      </c>
      <c r="J177" s="10">
        <v>145.93</v>
      </c>
      <c r="K177" s="10">
        <v>141.87</v>
      </c>
      <c r="M177" s="10">
        <v>150.01211999999998</v>
      </c>
      <c r="N177" s="10">
        <v>194.58399</v>
      </c>
      <c r="O177" s="10">
        <v>190.97004999999999</v>
      </c>
      <c r="Q177" s="21">
        <v>1657.97</v>
      </c>
      <c r="R177" s="21">
        <v>1598.95</v>
      </c>
      <c r="S177" s="21">
        <v>1603.74</v>
      </c>
    </row>
    <row r="178" spans="1:19" x14ac:dyDescent="0.2">
      <c r="A178" s="9" t="s">
        <v>356</v>
      </c>
      <c r="B178" s="9" t="s">
        <v>357</v>
      </c>
      <c r="C178" s="9">
        <v>9</v>
      </c>
      <c r="D178" s="9">
        <v>1</v>
      </c>
      <c r="E178" s="9">
        <v>67</v>
      </c>
      <c r="F178" s="9">
        <f t="shared" si="2"/>
        <v>77</v>
      </c>
      <c r="H178" s="10">
        <v>80.44</v>
      </c>
      <c r="I178" s="10">
        <v>89</v>
      </c>
      <c r="J178" s="10">
        <v>96.71</v>
      </c>
      <c r="K178" s="10">
        <v>94.6</v>
      </c>
      <c r="M178" s="10">
        <v>98.388890000000004</v>
      </c>
      <c r="N178" s="10">
        <v>111.25397</v>
      </c>
      <c r="O178" s="10">
        <v>109.18637</v>
      </c>
      <c r="Q178" s="21">
        <v>1446.35</v>
      </c>
      <c r="R178" s="21">
        <v>1075.19</v>
      </c>
      <c r="S178" s="21">
        <v>1134.8399999999999</v>
      </c>
    </row>
    <row r="179" spans="1:19" x14ac:dyDescent="0.2">
      <c r="A179" s="9" t="s">
        <v>358</v>
      </c>
      <c r="B179" s="9" t="s">
        <v>359</v>
      </c>
      <c r="C179" s="9">
        <v>5</v>
      </c>
      <c r="D179" s="9">
        <v>0</v>
      </c>
      <c r="E179" s="9">
        <v>60</v>
      </c>
      <c r="F179" s="9">
        <f t="shared" si="2"/>
        <v>65</v>
      </c>
      <c r="H179" s="10">
        <v>145.19999999999999</v>
      </c>
      <c r="I179" s="10">
        <v>0</v>
      </c>
      <c r="J179" s="10">
        <v>115.35</v>
      </c>
      <c r="K179" s="10">
        <v>118.11</v>
      </c>
      <c r="M179" s="10">
        <v>127.66</v>
      </c>
      <c r="N179" s="10">
        <v>130.46787</v>
      </c>
      <c r="O179" s="10">
        <v>130.20788000000002</v>
      </c>
      <c r="Q179" s="21">
        <v>955.57</v>
      </c>
      <c r="R179" s="21">
        <v>1247.55</v>
      </c>
      <c r="S179" s="21">
        <v>1220.51</v>
      </c>
    </row>
    <row r="180" spans="1:19" x14ac:dyDescent="0.2">
      <c r="A180" s="9" t="s">
        <v>360</v>
      </c>
      <c r="B180" s="9" t="s">
        <v>361</v>
      </c>
      <c r="C180" s="9">
        <v>177</v>
      </c>
      <c r="D180" s="9">
        <v>0</v>
      </c>
      <c r="E180" s="9">
        <v>457</v>
      </c>
      <c r="F180" s="9">
        <f t="shared" si="2"/>
        <v>634</v>
      </c>
      <c r="H180" s="10">
        <v>118.58</v>
      </c>
      <c r="I180" s="10">
        <v>0</v>
      </c>
      <c r="J180" s="10">
        <v>89.31</v>
      </c>
      <c r="K180" s="10">
        <v>96.82</v>
      </c>
      <c r="M180" s="10">
        <v>502.59030999999999</v>
      </c>
      <c r="N180" s="10">
        <v>381.64375000000001</v>
      </c>
      <c r="O180" s="10">
        <v>412.96027000000004</v>
      </c>
      <c r="Q180" s="21">
        <v>4421.93</v>
      </c>
      <c r="R180" s="21">
        <v>4496.71</v>
      </c>
      <c r="S180" s="21">
        <v>4477.3500000000004</v>
      </c>
    </row>
    <row r="181" spans="1:19" x14ac:dyDescent="0.2">
      <c r="A181" s="9" t="s">
        <v>362</v>
      </c>
      <c r="B181" s="9" t="s">
        <v>363</v>
      </c>
      <c r="C181" s="9">
        <v>1</v>
      </c>
      <c r="D181" s="9">
        <v>0</v>
      </c>
      <c r="E181" s="9">
        <v>58</v>
      </c>
      <c r="F181" s="9">
        <f t="shared" si="2"/>
        <v>59</v>
      </c>
      <c r="H181" s="10">
        <v>123</v>
      </c>
      <c r="I181" s="10">
        <v>0</v>
      </c>
      <c r="J181" s="10">
        <v>129.25</v>
      </c>
      <c r="K181" s="10">
        <v>129.13</v>
      </c>
      <c r="M181" s="10">
        <v>0</v>
      </c>
      <c r="N181" s="10">
        <v>111.38119</v>
      </c>
      <c r="O181" s="10">
        <v>112.24825</v>
      </c>
      <c r="Q181" s="21">
        <v>0</v>
      </c>
      <c r="R181" s="21">
        <v>823.66</v>
      </c>
      <c r="S181" s="21">
        <v>832.41</v>
      </c>
    </row>
    <row r="182" spans="1:19" x14ac:dyDescent="0.2">
      <c r="A182" s="9" t="s">
        <v>364</v>
      </c>
      <c r="B182" s="9" t="s">
        <v>365</v>
      </c>
      <c r="C182" s="9">
        <v>15</v>
      </c>
      <c r="D182" s="9">
        <v>0</v>
      </c>
      <c r="E182" s="9">
        <v>27</v>
      </c>
      <c r="F182" s="9">
        <f t="shared" si="2"/>
        <v>42</v>
      </c>
      <c r="H182" s="10">
        <v>84.46</v>
      </c>
      <c r="I182" s="10">
        <v>0</v>
      </c>
      <c r="J182" s="10">
        <v>102.09</v>
      </c>
      <c r="K182" s="10">
        <v>95.72</v>
      </c>
      <c r="M182" s="10">
        <v>74.078410000000005</v>
      </c>
      <c r="N182" s="10">
        <v>94.078100000000006</v>
      </c>
      <c r="O182" s="10">
        <v>86.431160000000006</v>
      </c>
      <c r="Q182" s="21">
        <v>839.31</v>
      </c>
      <c r="R182" s="21">
        <v>997.63</v>
      </c>
      <c r="S182" s="21">
        <v>937.1</v>
      </c>
    </row>
    <row r="183" spans="1:19" x14ac:dyDescent="0.2">
      <c r="A183" s="9" t="s">
        <v>366</v>
      </c>
      <c r="B183" s="9" t="s">
        <v>367</v>
      </c>
      <c r="C183" s="9">
        <v>15</v>
      </c>
      <c r="D183" s="9">
        <v>0</v>
      </c>
      <c r="E183" s="9">
        <v>27</v>
      </c>
      <c r="F183" s="9">
        <f t="shared" si="2"/>
        <v>42</v>
      </c>
      <c r="H183" s="10">
        <v>121.27</v>
      </c>
      <c r="I183" s="10">
        <v>0</v>
      </c>
      <c r="J183" s="10">
        <v>118.13</v>
      </c>
      <c r="K183" s="10">
        <v>119.34</v>
      </c>
      <c r="M183" s="10">
        <v>180.33333999999999</v>
      </c>
      <c r="N183" s="10">
        <v>208.81258</v>
      </c>
      <c r="O183" s="10">
        <v>197.85902999999999</v>
      </c>
      <c r="Q183" s="21">
        <v>1842.92</v>
      </c>
      <c r="R183" s="21">
        <v>1915.58</v>
      </c>
      <c r="S183" s="21">
        <v>1887.63</v>
      </c>
    </row>
    <row r="184" spans="1:19" x14ac:dyDescent="0.2">
      <c r="A184" s="9" t="s">
        <v>368</v>
      </c>
      <c r="B184" s="9" t="s">
        <v>369</v>
      </c>
      <c r="C184" s="9">
        <v>147</v>
      </c>
      <c r="D184" s="9">
        <v>4</v>
      </c>
      <c r="E184" s="9">
        <v>1389</v>
      </c>
      <c r="F184" s="9">
        <f t="shared" si="2"/>
        <v>1540</v>
      </c>
      <c r="H184" s="10">
        <v>91.16</v>
      </c>
      <c r="I184" s="10">
        <v>79.5</v>
      </c>
      <c r="J184" s="10">
        <v>85.81</v>
      </c>
      <c r="K184" s="10">
        <v>86.32</v>
      </c>
      <c r="M184" s="10">
        <v>129.34200999999999</v>
      </c>
      <c r="N184" s="10">
        <v>112.13424000000001</v>
      </c>
      <c r="O184" s="10">
        <v>113.84524</v>
      </c>
      <c r="Q184" s="21">
        <v>1342.12</v>
      </c>
      <c r="R184" s="21">
        <v>1288.3499999999999</v>
      </c>
      <c r="S184" s="21">
        <v>1293.7</v>
      </c>
    </row>
    <row r="185" spans="1:19" x14ac:dyDescent="0.2">
      <c r="A185" s="9" t="s">
        <v>370</v>
      </c>
      <c r="B185" s="9" t="s">
        <v>371</v>
      </c>
      <c r="C185" s="9">
        <v>26</v>
      </c>
      <c r="D185" s="9">
        <v>19</v>
      </c>
      <c r="E185" s="9">
        <v>133</v>
      </c>
      <c r="F185" s="9">
        <f t="shared" si="2"/>
        <v>178</v>
      </c>
      <c r="H185" s="10">
        <v>113.5</v>
      </c>
      <c r="I185" s="10">
        <v>89.73</v>
      </c>
      <c r="J185" s="10">
        <v>95.83</v>
      </c>
      <c r="K185" s="10">
        <v>98.36</v>
      </c>
      <c r="M185" s="10">
        <v>100.92586999999999</v>
      </c>
      <c r="N185" s="10">
        <v>69.913749999999993</v>
      </c>
      <c r="O185" s="10">
        <v>77.210719999999995</v>
      </c>
      <c r="Q185" s="21">
        <v>938.76</v>
      </c>
      <c r="R185" s="21">
        <v>775.75</v>
      </c>
      <c r="S185" s="21">
        <v>814.11</v>
      </c>
    </row>
    <row r="186" spans="1:19" x14ac:dyDescent="0.2">
      <c r="A186" s="9" t="s">
        <v>372</v>
      </c>
      <c r="B186" s="9" t="s">
        <v>373</v>
      </c>
      <c r="C186" s="9">
        <v>26</v>
      </c>
      <c r="D186" s="9">
        <v>1</v>
      </c>
      <c r="E186" s="9">
        <v>53</v>
      </c>
      <c r="F186" s="9">
        <f t="shared" si="2"/>
        <v>80</v>
      </c>
      <c r="H186" s="10">
        <v>255.67</v>
      </c>
      <c r="I186" s="10">
        <v>71</v>
      </c>
      <c r="J186" s="10">
        <v>172.92</v>
      </c>
      <c r="K186" s="10">
        <v>198.73</v>
      </c>
      <c r="M186" s="10">
        <v>579.33345999999995</v>
      </c>
      <c r="N186" s="10">
        <v>420.13110999999998</v>
      </c>
      <c r="O186" s="10">
        <v>473.19855999999999</v>
      </c>
      <c r="Q186" s="21">
        <v>2199.44</v>
      </c>
      <c r="R186" s="21">
        <v>2699.4</v>
      </c>
      <c r="S186" s="21">
        <v>2532.75</v>
      </c>
    </row>
    <row r="187" spans="1:19" x14ac:dyDescent="0.2">
      <c r="A187" s="9" t="s">
        <v>374</v>
      </c>
      <c r="B187" s="9" t="s">
        <v>375</v>
      </c>
      <c r="C187" s="9">
        <v>193</v>
      </c>
      <c r="D187" s="9">
        <v>2</v>
      </c>
      <c r="E187" s="9">
        <v>2429</v>
      </c>
      <c r="F187" s="9">
        <f t="shared" si="2"/>
        <v>2624</v>
      </c>
      <c r="H187" s="10">
        <v>84.64</v>
      </c>
      <c r="I187" s="10">
        <v>81</v>
      </c>
      <c r="J187" s="10">
        <v>87.97</v>
      </c>
      <c r="K187" s="10">
        <v>87.71</v>
      </c>
      <c r="M187" s="10">
        <v>175.88064000000003</v>
      </c>
      <c r="N187" s="10">
        <v>142.86939000000001</v>
      </c>
      <c r="O187" s="10">
        <v>145.42567000000003</v>
      </c>
      <c r="Q187" s="21">
        <v>2254.5100000000002</v>
      </c>
      <c r="R187" s="21">
        <v>1732.19</v>
      </c>
      <c r="S187" s="21">
        <v>1772.64</v>
      </c>
    </row>
    <row r="188" spans="1:19" x14ac:dyDescent="0.2">
      <c r="A188" s="9" t="s">
        <v>376</v>
      </c>
      <c r="B188" s="9" t="s">
        <v>377</v>
      </c>
      <c r="C188" s="9">
        <v>52</v>
      </c>
      <c r="D188" s="9">
        <v>0</v>
      </c>
      <c r="E188" s="9">
        <v>56</v>
      </c>
      <c r="F188" s="9">
        <f t="shared" si="2"/>
        <v>108</v>
      </c>
      <c r="H188" s="10">
        <v>115.33</v>
      </c>
      <c r="I188" s="10">
        <v>0</v>
      </c>
      <c r="J188" s="10">
        <v>159.6</v>
      </c>
      <c r="K188" s="10">
        <v>137.03</v>
      </c>
      <c r="M188" s="10">
        <v>364.98921999999999</v>
      </c>
      <c r="N188" s="10">
        <v>414.51552000000004</v>
      </c>
      <c r="O188" s="10">
        <v>389.26682</v>
      </c>
      <c r="Q188" s="21">
        <v>3402.23</v>
      </c>
      <c r="R188" s="21">
        <v>2834.37</v>
      </c>
      <c r="S188" s="21">
        <v>3123.87</v>
      </c>
    </row>
    <row r="189" spans="1:19" x14ac:dyDescent="0.2">
      <c r="A189" s="9" t="s">
        <v>378</v>
      </c>
      <c r="B189" s="9" t="s">
        <v>379</v>
      </c>
      <c r="C189" s="9">
        <v>23</v>
      </c>
      <c r="D189" s="9">
        <v>0</v>
      </c>
      <c r="E189" s="9">
        <v>51</v>
      </c>
      <c r="F189" s="9">
        <f t="shared" si="2"/>
        <v>74</v>
      </c>
      <c r="H189" s="10">
        <v>89.37</v>
      </c>
      <c r="I189" s="10">
        <v>0</v>
      </c>
      <c r="J189" s="10">
        <v>96.13</v>
      </c>
      <c r="K189" s="10">
        <v>94.15</v>
      </c>
      <c r="M189" s="10">
        <v>115.79432000000001</v>
      </c>
      <c r="N189" s="10">
        <v>138.89054999999999</v>
      </c>
      <c r="O189" s="10">
        <v>132.13934</v>
      </c>
      <c r="Q189" s="21">
        <v>1445.1</v>
      </c>
      <c r="R189" s="21">
        <v>1659.09</v>
      </c>
      <c r="S189" s="21">
        <v>1596.54</v>
      </c>
    </row>
    <row r="190" spans="1:19" x14ac:dyDescent="0.2">
      <c r="A190" s="9" t="s">
        <v>380</v>
      </c>
      <c r="B190" s="9" t="s">
        <v>381</v>
      </c>
      <c r="C190" s="9">
        <v>38</v>
      </c>
      <c r="D190" s="9">
        <v>0</v>
      </c>
      <c r="E190" s="9">
        <v>162</v>
      </c>
      <c r="F190" s="9">
        <f t="shared" si="2"/>
        <v>200</v>
      </c>
      <c r="H190" s="10">
        <v>97.72</v>
      </c>
      <c r="I190" s="10">
        <v>0</v>
      </c>
      <c r="J190" s="10">
        <v>104.72</v>
      </c>
      <c r="K190" s="10">
        <v>103.57</v>
      </c>
      <c r="M190" s="10">
        <v>88.942610000000002</v>
      </c>
      <c r="N190" s="10">
        <v>113.94513999999999</v>
      </c>
      <c r="O190" s="10">
        <v>109.75396000000001</v>
      </c>
      <c r="Q190" s="21">
        <v>1018.86</v>
      </c>
      <c r="R190" s="21">
        <v>1172.29</v>
      </c>
      <c r="S190" s="21">
        <v>1146.57</v>
      </c>
    </row>
    <row r="191" spans="1:19" x14ac:dyDescent="0.2">
      <c r="A191" s="9" t="s">
        <v>382</v>
      </c>
      <c r="B191" s="9" t="s">
        <v>383</v>
      </c>
      <c r="C191" s="9">
        <v>3</v>
      </c>
      <c r="D191" s="9">
        <v>0</v>
      </c>
      <c r="E191" s="9">
        <v>154</v>
      </c>
      <c r="F191" s="9">
        <f t="shared" si="2"/>
        <v>157</v>
      </c>
      <c r="H191" s="10">
        <v>116.67</v>
      </c>
      <c r="I191" s="10">
        <v>0</v>
      </c>
      <c r="J191" s="10">
        <v>108.16</v>
      </c>
      <c r="K191" s="10">
        <v>108.35</v>
      </c>
      <c r="M191" s="10">
        <v>144.33332999999999</v>
      </c>
      <c r="N191" s="10">
        <v>100.44169000000001</v>
      </c>
      <c r="O191" s="10">
        <v>101.40989</v>
      </c>
      <c r="Q191" s="21">
        <v>1219.3800000000001</v>
      </c>
      <c r="R191" s="21">
        <v>1022.1</v>
      </c>
      <c r="S191" s="21">
        <v>1026.45</v>
      </c>
    </row>
    <row r="192" spans="1:19" x14ac:dyDescent="0.2">
      <c r="A192" s="9" t="s">
        <v>384</v>
      </c>
      <c r="B192" s="9" t="s">
        <v>385</v>
      </c>
      <c r="C192" s="9">
        <v>87</v>
      </c>
      <c r="D192" s="9">
        <v>2</v>
      </c>
      <c r="E192" s="9">
        <v>309</v>
      </c>
      <c r="F192" s="9">
        <f t="shared" si="2"/>
        <v>398</v>
      </c>
      <c r="H192" s="10">
        <v>96.28</v>
      </c>
      <c r="I192" s="10">
        <v>66.5</v>
      </c>
      <c r="J192" s="10">
        <v>88.47</v>
      </c>
      <c r="K192" s="10">
        <v>89.96</v>
      </c>
      <c r="M192" s="10">
        <v>147.85186999999999</v>
      </c>
      <c r="N192" s="10">
        <v>133.95695999999998</v>
      </c>
      <c r="O192" s="10">
        <v>136.87826000000001</v>
      </c>
      <c r="Q192" s="21">
        <v>1538.21</v>
      </c>
      <c r="R192" s="21">
        <v>1549.95</v>
      </c>
      <c r="S192" s="21">
        <v>1547.48</v>
      </c>
    </row>
    <row r="193" spans="1:19" x14ac:dyDescent="0.2">
      <c r="A193" s="9" t="s">
        <v>386</v>
      </c>
      <c r="B193" s="9" t="s">
        <v>387</v>
      </c>
      <c r="C193" s="9">
        <v>20</v>
      </c>
      <c r="D193" s="9">
        <v>0</v>
      </c>
      <c r="E193" s="9">
        <v>39</v>
      </c>
      <c r="F193" s="9">
        <f t="shared" si="2"/>
        <v>59</v>
      </c>
      <c r="H193" s="10">
        <v>113.86</v>
      </c>
      <c r="I193" s="10">
        <v>0</v>
      </c>
      <c r="J193" s="10">
        <v>134.63</v>
      </c>
      <c r="K193" s="10">
        <v>128.31</v>
      </c>
      <c r="M193" s="10">
        <v>187.64285999999998</v>
      </c>
      <c r="N193" s="10">
        <v>238.87378000000001</v>
      </c>
      <c r="O193" s="10">
        <v>223.28176000000002</v>
      </c>
      <c r="Q193" s="21">
        <v>1895.12</v>
      </c>
      <c r="R193" s="21">
        <v>2105.0100000000002</v>
      </c>
      <c r="S193" s="21">
        <v>2041.13</v>
      </c>
    </row>
    <row r="194" spans="1:19" x14ac:dyDescent="0.2">
      <c r="A194" s="9" t="s">
        <v>388</v>
      </c>
      <c r="B194" s="9" t="s">
        <v>389</v>
      </c>
      <c r="C194" s="9">
        <v>50</v>
      </c>
      <c r="D194" s="9">
        <v>0</v>
      </c>
      <c r="E194" s="9">
        <v>211</v>
      </c>
      <c r="F194" s="9">
        <f t="shared" si="2"/>
        <v>261</v>
      </c>
      <c r="H194" s="10">
        <v>100.85</v>
      </c>
      <c r="I194" s="10">
        <v>0</v>
      </c>
      <c r="J194" s="10">
        <v>91.95</v>
      </c>
      <c r="K194" s="10">
        <v>93.66</v>
      </c>
      <c r="M194" s="10">
        <v>151.62035</v>
      </c>
      <c r="N194" s="10">
        <v>142.88285000000002</v>
      </c>
      <c r="O194" s="10">
        <v>144.57979999999998</v>
      </c>
      <c r="Q194" s="21">
        <v>1580.39</v>
      </c>
      <c r="R194" s="21">
        <v>1780.97</v>
      </c>
      <c r="S194" s="21">
        <v>1742.01</v>
      </c>
    </row>
    <row r="195" spans="1:19" x14ac:dyDescent="0.2">
      <c r="A195" s="9" t="s">
        <v>390</v>
      </c>
      <c r="B195" s="9" t="s">
        <v>391</v>
      </c>
      <c r="C195" s="9">
        <v>14</v>
      </c>
      <c r="D195" s="9">
        <v>0</v>
      </c>
      <c r="E195" s="9">
        <v>263</v>
      </c>
      <c r="F195" s="9">
        <f t="shared" si="2"/>
        <v>277</v>
      </c>
      <c r="H195" s="10">
        <v>104.42</v>
      </c>
      <c r="I195" s="10">
        <v>0</v>
      </c>
      <c r="J195" s="10">
        <v>96.19</v>
      </c>
      <c r="K195" s="10">
        <v>96.68</v>
      </c>
      <c r="M195" s="10">
        <v>105.29989999999999</v>
      </c>
      <c r="N195" s="10">
        <v>70.766960000000012</v>
      </c>
      <c r="O195" s="10">
        <v>72.859870000000001</v>
      </c>
      <c r="Q195" s="21">
        <v>1106.6199999999999</v>
      </c>
      <c r="R195" s="21">
        <v>720.51</v>
      </c>
      <c r="S195" s="21">
        <v>743.91</v>
      </c>
    </row>
    <row r="196" spans="1:19" x14ac:dyDescent="0.2">
      <c r="A196" s="1" t="s">
        <v>392</v>
      </c>
      <c r="B196" s="1" t="s">
        <v>393</v>
      </c>
      <c r="C196" s="9">
        <v>1</v>
      </c>
      <c r="D196" s="9">
        <v>0</v>
      </c>
      <c r="E196" s="9">
        <v>134</v>
      </c>
      <c r="F196" s="9">
        <f t="shared" si="2"/>
        <v>135</v>
      </c>
      <c r="H196" s="10">
        <v>78</v>
      </c>
      <c r="I196" s="10">
        <v>0</v>
      </c>
      <c r="J196" s="10">
        <v>78.13</v>
      </c>
      <c r="K196" s="10">
        <v>78.13</v>
      </c>
      <c r="M196" s="10">
        <v>0</v>
      </c>
      <c r="N196" s="10">
        <v>162.99700000000001</v>
      </c>
      <c r="O196" s="10">
        <v>162.87201999999999</v>
      </c>
      <c r="Q196" s="21">
        <v>0</v>
      </c>
      <c r="R196" s="21">
        <v>2272.39</v>
      </c>
      <c r="S196" s="21">
        <v>2269.27</v>
      </c>
    </row>
    <row r="197" spans="1:19" x14ac:dyDescent="0.2">
      <c r="A197" s="1" t="s">
        <v>394</v>
      </c>
      <c r="B197" s="1" t="s">
        <v>395</v>
      </c>
      <c r="C197" s="9">
        <v>0</v>
      </c>
      <c r="D197" s="9">
        <v>0</v>
      </c>
      <c r="E197" s="9">
        <v>58</v>
      </c>
      <c r="F197" s="9">
        <f t="shared" si="2"/>
        <v>58</v>
      </c>
      <c r="H197" s="10">
        <v>0</v>
      </c>
      <c r="I197" s="10">
        <v>0</v>
      </c>
      <c r="J197" s="10">
        <v>98.68</v>
      </c>
      <c r="K197" s="10">
        <v>98.68</v>
      </c>
      <c r="M197" s="10">
        <v>0</v>
      </c>
      <c r="N197" s="10">
        <v>55.162800000000004</v>
      </c>
      <c r="O197" s="10">
        <v>55.162800000000004</v>
      </c>
      <c r="Q197" s="21">
        <v>0</v>
      </c>
      <c r="R197" s="21">
        <v>574.74</v>
      </c>
      <c r="S197" s="21">
        <v>574.74</v>
      </c>
    </row>
    <row r="198" spans="1:19" x14ac:dyDescent="0.2">
      <c r="A198" s="1" t="s">
        <v>396</v>
      </c>
      <c r="B198" s="1" t="s">
        <v>397</v>
      </c>
      <c r="C198" s="9">
        <v>7</v>
      </c>
      <c r="D198" s="9">
        <v>0</v>
      </c>
      <c r="E198" s="9">
        <v>61</v>
      </c>
      <c r="F198" s="9">
        <f t="shared" si="2"/>
        <v>68</v>
      </c>
      <c r="H198" s="10">
        <v>76.400000000000006</v>
      </c>
      <c r="I198" s="10">
        <v>0</v>
      </c>
      <c r="J198" s="10">
        <v>88.19</v>
      </c>
      <c r="K198" s="10">
        <v>86.94</v>
      </c>
      <c r="M198" s="10">
        <v>32.411799999999999</v>
      </c>
      <c r="N198" s="10">
        <v>47.72466</v>
      </c>
      <c r="O198" s="10">
        <v>46.060220000000001</v>
      </c>
      <c r="Q198" s="21">
        <v>450.25</v>
      </c>
      <c r="R198" s="21">
        <v>553.64</v>
      </c>
      <c r="S198" s="21">
        <v>542.4</v>
      </c>
    </row>
    <row r="199" spans="1:19" x14ac:dyDescent="0.2">
      <c r="A199" s="1" t="s">
        <v>398</v>
      </c>
      <c r="B199" s="1" t="s">
        <v>399</v>
      </c>
      <c r="C199" s="9">
        <v>0</v>
      </c>
      <c r="D199" s="9">
        <v>0</v>
      </c>
      <c r="E199" s="9">
        <v>101</v>
      </c>
      <c r="F199" s="9">
        <f t="shared" si="2"/>
        <v>101</v>
      </c>
      <c r="H199" s="10">
        <v>0</v>
      </c>
      <c r="I199" s="10">
        <v>0</v>
      </c>
      <c r="J199" s="10">
        <v>153.53</v>
      </c>
      <c r="K199" s="10">
        <v>153.53</v>
      </c>
      <c r="M199" s="10">
        <v>0</v>
      </c>
      <c r="N199" s="10">
        <v>233.89767000000001</v>
      </c>
      <c r="O199" s="10">
        <v>233.89767000000001</v>
      </c>
      <c r="Q199" s="21">
        <v>0</v>
      </c>
      <c r="R199" s="21">
        <v>1786.4</v>
      </c>
      <c r="S199" s="21">
        <v>1786.4</v>
      </c>
    </row>
    <row r="200" spans="1:19" x14ac:dyDescent="0.2">
      <c r="A200" s="1" t="s">
        <v>400</v>
      </c>
      <c r="B200" s="1" t="s">
        <v>401</v>
      </c>
      <c r="C200" s="9">
        <v>42</v>
      </c>
      <c r="D200" s="9">
        <v>3</v>
      </c>
      <c r="E200" s="9">
        <v>101</v>
      </c>
      <c r="F200" s="9">
        <f t="shared" ref="F200:F217" si="3">SUM(C200:E200)</f>
        <v>146</v>
      </c>
      <c r="H200" s="10">
        <v>153.65</v>
      </c>
      <c r="I200" s="10">
        <v>89</v>
      </c>
      <c r="J200" s="10">
        <v>134.79</v>
      </c>
      <c r="K200" s="10">
        <v>139.88</v>
      </c>
      <c r="M200" s="10">
        <v>212.02529000000001</v>
      </c>
      <c r="N200" s="10">
        <v>210.09781000000001</v>
      </c>
      <c r="O200" s="10">
        <v>210.72195000000002</v>
      </c>
      <c r="Q200" s="21">
        <v>1512.23</v>
      </c>
      <c r="R200" s="21">
        <v>1770.59</v>
      </c>
      <c r="S200" s="21">
        <v>1686.93</v>
      </c>
    </row>
    <row r="201" spans="1:19" x14ac:dyDescent="0.2">
      <c r="A201" s="1" t="s">
        <v>402</v>
      </c>
      <c r="B201" s="1" t="s">
        <v>403</v>
      </c>
      <c r="C201" s="9">
        <v>0</v>
      </c>
      <c r="D201" s="9">
        <v>0</v>
      </c>
      <c r="E201" s="9">
        <v>110</v>
      </c>
      <c r="F201" s="9">
        <f t="shared" si="3"/>
        <v>110</v>
      </c>
      <c r="H201" s="10">
        <v>0</v>
      </c>
      <c r="I201" s="10">
        <v>0</v>
      </c>
      <c r="J201" s="10">
        <v>85.31</v>
      </c>
      <c r="K201" s="10">
        <v>85.31</v>
      </c>
      <c r="M201" s="10">
        <v>0</v>
      </c>
      <c r="N201" s="10">
        <v>97.736840000000001</v>
      </c>
      <c r="O201" s="10">
        <v>97.736840000000001</v>
      </c>
      <c r="Q201" s="21">
        <v>0</v>
      </c>
      <c r="R201" s="21">
        <v>1163.75</v>
      </c>
      <c r="S201" s="21">
        <v>1163.75</v>
      </c>
    </row>
    <row r="202" spans="1:19" x14ac:dyDescent="0.2">
      <c r="A202" s="1" t="s">
        <v>404</v>
      </c>
      <c r="B202" s="1" t="s">
        <v>405</v>
      </c>
      <c r="C202" s="9">
        <v>10</v>
      </c>
      <c r="D202" s="9">
        <v>0</v>
      </c>
      <c r="E202" s="9">
        <v>51</v>
      </c>
      <c r="F202" s="9">
        <f t="shared" si="3"/>
        <v>61</v>
      </c>
      <c r="H202" s="10">
        <v>82.22</v>
      </c>
      <c r="I202" s="10">
        <v>0</v>
      </c>
      <c r="J202" s="10">
        <v>80.459999999999994</v>
      </c>
      <c r="K202" s="10">
        <v>80.78</v>
      </c>
      <c r="M202" s="10">
        <v>114.13413</v>
      </c>
      <c r="N202" s="10">
        <v>137.04478</v>
      </c>
      <c r="O202" s="10">
        <v>132.74903</v>
      </c>
      <c r="Q202" s="21">
        <v>1321.38</v>
      </c>
      <c r="R202" s="21">
        <v>1792.68</v>
      </c>
      <c r="S202" s="21">
        <v>1704.31</v>
      </c>
    </row>
    <row r="203" spans="1:19" x14ac:dyDescent="0.2">
      <c r="A203" s="1" t="s">
        <v>406</v>
      </c>
      <c r="B203" s="1" t="s">
        <v>407</v>
      </c>
      <c r="C203" s="9">
        <v>16</v>
      </c>
      <c r="D203" s="9">
        <v>0</v>
      </c>
      <c r="E203" s="9">
        <v>725</v>
      </c>
      <c r="F203" s="9">
        <f t="shared" si="3"/>
        <v>741</v>
      </c>
      <c r="H203" s="10">
        <v>91</v>
      </c>
      <c r="I203" s="10">
        <v>0</v>
      </c>
      <c r="J203" s="10">
        <v>97.3</v>
      </c>
      <c r="K203" s="10">
        <v>97.18</v>
      </c>
      <c r="M203" s="10">
        <v>119.07692</v>
      </c>
      <c r="N203" s="10">
        <v>122.47355999999999</v>
      </c>
      <c r="O203" s="10">
        <v>122.40774999999999</v>
      </c>
      <c r="Q203" s="21">
        <v>1494.04</v>
      </c>
      <c r="R203" s="21">
        <v>1373.51</v>
      </c>
      <c r="S203" s="21">
        <v>1375.85</v>
      </c>
    </row>
    <row r="204" spans="1:19" x14ac:dyDescent="0.2">
      <c r="A204" s="1" t="s">
        <v>408</v>
      </c>
      <c r="B204" s="1" t="s">
        <v>409</v>
      </c>
      <c r="C204" s="9">
        <v>108</v>
      </c>
      <c r="D204" s="9">
        <v>2</v>
      </c>
      <c r="E204" s="9">
        <v>394</v>
      </c>
      <c r="F204" s="9">
        <f t="shared" si="3"/>
        <v>504</v>
      </c>
      <c r="H204" s="10">
        <v>98.71</v>
      </c>
      <c r="I204" s="10">
        <v>67.5</v>
      </c>
      <c r="J204" s="10">
        <v>88.36</v>
      </c>
      <c r="K204" s="10">
        <v>90.57</v>
      </c>
      <c r="M204" s="10">
        <v>184.41413</v>
      </c>
      <c r="N204" s="10">
        <v>126.93563</v>
      </c>
      <c r="O204" s="10">
        <v>140.09485000000001</v>
      </c>
      <c r="Q204" s="21">
        <v>1888.26</v>
      </c>
      <c r="R204" s="21">
        <v>1478.79</v>
      </c>
      <c r="S204" s="21">
        <v>1572.53</v>
      </c>
    </row>
    <row r="205" spans="1:19" x14ac:dyDescent="0.2">
      <c r="A205" s="1" t="s">
        <v>410</v>
      </c>
      <c r="B205" s="1" t="s">
        <v>411</v>
      </c>
      <c r="C205" s="9">
        <v>16</v>
      </c>
      <c r="D205" s="9">
        <v>0</v>
      </c>
      <c r="E205" s="9">
        <v>85</v>
      </c>
      <c r="F205" s="9">
        <f t="shared" si="3"/>
        <v>101</v>
      </c>
      <c r="H205" s="10">
        <v>179.3</v>
      </c>
      <c r="I205" s="10">
        <v>0</v>
      </c>
      <c r="J205" s="10">
        <v>124.29</v>
      </c>
      <c r="K205" s="10">
        <v>131.25</v>
      </c>
      <c r="M205" s="10">
        <v>171.42860999999999</v>
      </c>
      <c r="N205" s="10">
        <v>143.99364000000003</v>
      </c>
      <c r="O205" s="10">
        <v>147.46642</v>
      </c>
      <c r="Q205" s="21">
        <v>1051.33</v>
      </c>
      <c r="R205" s="21">
        <v>1232.18</v>
      </c>
      <c r="S205" s="21">
        <v>1209.29</v>
      </c>
    </row>
    <row r="206" spans="1:19" x14ac:dyDescent="0.2">
      <c r="A206" s="1" t="s">
        <v>412</v>
      </c>
      <c r="B206" s="1" t="s">
        <v>413</v>
      </c>
      <c r="C206" s="9">
        <v>12</v>
      </c>
      <c r="D206" s="9">
        <v>0</v>
      </c>
      <c r="E206" s="9">
        <v>157</v>
      </c>
      <c r="F206" s="9">
        <f t="shared" si="3"/>
        <v>169</v>
      </c>
      <c r="H206" s="10">
        <v>81.900000000000006</v>
      </c>
      <c r="I206" s="10">
        <v>0</v>
      </c>
      <c r="J206" s="10">
        <v>88.87</v>
      </c>
      <c r="K206" s="10">
        <v>88.36</v>
      </c>
      <c r="M206" s="10">
        <v>146.67084</v>
      </c>
      <c r="N206" s="10">
        <v>152.53435000000002</v>
      </c>
      <c r="O206" s="10">
        <v>152.10002</v>
      </c>
      <c r="Q206" s="21">
        <v>1795.29</v>
      </c>
      <c r="R206" s="21">
        <v>1807.24</v>
      </c>
      <c r="S206" s="21">
        <v>1806.35</v>
      </c>
    </row>
    <row r="207" spans="1:19" x14ac:dyDescent="0.2">
      <c r="A207" s="1" t="s">
        <v>414</v>
      </c>
      <c r="B207" s="1" t="s">
        <v>415</v>
      </c>
      <c r="C207" s="9">
        <v>88</v>
      </c>
      <c r="D207" s="9">
        <v>0</v>
      </c>
      <c r="E207" s="9">
        <v>586</v>
      </c>
      <c r="F207" s="9">
        <f t="shared" si="3"/>
        <v>674</v>
      </c>
      <c r="H207" s="10">
        <v>92.27</v>
      </c>
      <c r="I207" s="10">
        <v>0</v>
      </c>
      <c r="J207" s="10">
        <v>81.83</v>
      </c>
      <c r="K207" s="10">
        <v>83.23</v>
      </c>
      <c r="M207" s="10">
        <v>227.46114</v>
      </c>
      <c r="N207" s="10">
        <v>196.18345000000002</v>
      </c>
      <c r="O207" s="10">
        <v>200.45742000000001</v>
      </c>
      <c r="Q207" s="21">
        <v>2455.02</v>
      </c>
      <c r="R207" s="21">
        <v>2449.86</v>
      </c>
      <c r="S207" s="21">
        <v>2450.5700000000002</v>
      </c>
    </row>
    <row r="208" spans="1:19" x14ac:dyDescent="0.2">
      <c r="A208" s="1" t="s">
        <v>416</v>
      </c>
      <c r="B208" s="1" t="s">
        <v>417</v>
      </c>
      <c r="C208" s="9">
        <v>0</v>
      </c>
      <c r="D208" s="9">
        <v>0</v>
      </c>
      <c r="E208" s="9">
        <v>102</v>
      </c>
      <c r="F208" s="9">
        <f t="shared" si="3"/>
        <v>102</v>
      </c>
      <c r="H208" s="10">
        <v>0</v>
      </c>
      <c r="I208" s="10">
        <v>0</v>
      </c>
      <c r="J208" s="10">
        <v>159.25</v>
      </c>
      <c r="K208" s="10">
        <v>159.25</v>
      </c>
      <c r="M208" s="10">
        <v>0</v>
      </c>
      <c r="N208" s="10">
        <v>306.06584999999995</v>
      </c>
      <c r="O208" s="10">
        <v>306.06584999999995</v>
      </c>
      <c r="Q208" s="21">
        <v>0</v>
      </c>
      <c r="R208" s="21">
        <v>2153.67</v>
      </c>
      <c r="S208" s="21">
        <v>2153.67</v>
      </c>
    </row>
    <row r="209" spans="1:19" x14ac:dyDescent="0.2">
      <c r="A209" s="1" t="s">
        <v>418</v>
      </c>
      <c r="B209" s="1" t="s">
        <v>419</v>
      </c>
      <c r="C209" s="9">
        <v>12</v>
      </c>
      <c r="D209" s="9">
        <v>0</v>
      </c>
      <c r="E209" s="9">
        <v>24</v>
      </c>
      <c r="F209" s="9">
        <f t="shared" si="3"/>
        <v>36</v>
      </c>
      <c r="H209" s="10">
        <v>278.45</v>
      </c>
      <c r="I209" s="10">
        <v>0</v>
      </c>
      <c r="J209" s="10">
        <v>149.52000000000001</v>
      </c>
      <c r="K209" s="10">
        <v>191.23</v>
      </c>
      <c r="M209" s="10">
        <v>231.42214999999999</v>
      </c>
      <c r="N209" s="10">
        <v>159.76481000000001</v>
      </c>
      <c r="O209" s="10">
        <v>182.94807</v>
      </c>
      <c r="Q209" s="21">
        <v>914.18</v>
      </c>
      <c r="R209" s="21">
        <v>1073.28</v>
      </c>
      <c r="S209" s="21">
        <v>1021.81</v>
      </c>
    </row>
    <row r="210" spans="1:19" x14ac:dyDescent="0.2">
      <c r="A210" s="1" t="s">
        <v>420</v>
      </c>
      <c r="B210" s="1" t="s">
        <v>421</v>
      </c>
      <c r="C210" s="9">
        <v>89</v>
      </c>
      <c r="D210" s="9">
        <v>14</v>
      </c>
      <c r="E210" s="9">
        <v>222</v>
      </c>
      <c r="F210" s="9">
        <f t="shared" si="3"/>
        <v>325</v>
      </c>
      <c r="H210" s="10">
        <v>91.87</v>
      </c>
      <c r="I210" s="10">
        <v>88.62</v>
      </c>
      <c r="J210" s="10">
        <v>95.61</v>
      </c>
      <c r="K210" s="10">
        <v>94.19</v>
      </c>
      <c r="M210" s="10">
        <v>151.05933999999999</v>
      </c>
      <c r="N210" s="10">
        <v>145.20345</v>
      </c>
      <c r="O210" s="10">
        <v>147.27023</v>
      </c>
      <c r="Q210" s="21">
        <v>1663.54</v>
      </c>
      <c r="R210" s="21">
        <v>1521.78</v>
      </c>
      <c r="S210" s="21">
        <v>1571.81</v>
      </c>
    </row>
    <row r="211" spans="1:19" x14ac:dyDescent="0.2">
      <c r="A211" s="1" t="s">
        <v>422</v>
      </c>
      <c r="B211" s="1" t="s">
        <v>423</v>
      </c>
      <c r="C211" s="9">
        <v>17</v>
      </c>
      <c r="D211" s="9">
        <v>0</v>
      </c>
      <c r="E211" s="9">
        <v>102</v>
      </c>
      <c r="F211" s="9">
        <f t="shared" si="3"/>
        <v>119</v>
      </c>
      <c r="H211" s="10">
        <v>103.76</v>
      </c>
      <c r="I211" s="10">
        <v>0</v>
      </c>
      <c r="J211" s="10">
        <v>97.62</v>
      </c>
      <c r="K211" s="10">
        <v>98.54</v>
      </c>
      <c r="M211" s="10">
        <v>71.676469999999995</v>
      </c>
      <c r="N211" s="10">
        <v>88.887270000000001</v>
      </c>
      <c r="O211" s="10">
        <v>86.227419999999995</v>
      </c>
      <c r="Q211" s="21">
        <v>717.38</v>
      </c>
      <c r="R211" s="21">
        <v>959.62</v>
      </c>
      <c r="S211" s="21">
        <v>922.18</v>
      </c>
    </row>
    <row r="212" spans="1:19" x14ac:dyDescent="0.2">
      <c r="A212" s="1" t="s">
        <v>424</v>
      </c>
      <c r="B212" s="1" t="s">
        <v>425</v>
      </c>
      <c r="C212" s="9">
        <v>3</v>
      </c>
      <c r="D212" s="9">
        <v>0</v>
      </c>
      <c r="E212" s="9">
        <v>33</v>
      </c>
      <c r="F212" s="9">
        <f t="shared" si="3"/>
        <v>36</v>
      </c>
      <c r="H212" s="10">
        <v>0</v>
      </c>
      <c r="I212" s="10">
        <v>0</v>
      </c>
      <c r="J212" s="10">
        <v>174.45</v>
      </c>
      <c r="K212" s="10">
        <v>174.45</v>
      </c>
      <c r="M212" s="10">
        <v>0</v>
      </c>
      <c r="N212" s="10">
        <v>292.49538000000001</v>
      </c>
      <c r="O212" s="10">
        <v>292.49538000000001</v>
      </c>
      <c r="Q212" s="21">
        <v>0</v>
      </c>
      <c r="R212" s="21">
        <v>1804.93</v>
      </c>
      <c r="S212" s="21">
        <v>1804.93</v>
      </c>
    </row>
    <row r="213" spans="1:19" x14ac:dyDescent="0.2">
      <c r="A213" s="1" t="s">
        <v>426</v>
      </c>
      <c r="B213" s="1" t="s">
        <v>427</v>
      </c>
      <c r="C213" s="9">
        <v>60</v>
      </c>
      <c r="D213" s="9">
        <v>0</v>
      </c>
      <c r="E213" s="9">
        <v>788</v>
      </c>
      <c r="F213" s="9">
        <f t="shared" si="3"/>
        <v>848</v>
      </c>
      <c r="H213" s="10">
        <v>87.38</v>
      </c>
      <c r="I213" s="10">
        <v>0</v>
      </c>
      <c r="J213" s="10">
        <v>92.56</v>
      </c>
      <c r="K213" s="10">
        <v>92.18</v>
      </c>
      <c r="M213" s="10">
        <v>213.56868</v>
      </c>
      <c r="N213" s="10">
        <v>188.10378</v>
      </c>
      <c r="O213" s="10">
        <v>189.99389000000002</v>
      </c>
      <c r="Q213" s="21">
        <v>2764.6</v>
      </c>
      <c r="R213" s="21">
        <v>2106.35</v>
      </c>
      <c r="S213" s="21">
        <v>2155.21</v>
      </c>
    </row>
    <row r="214" spans="1:19" x14ac:dyDescent="0.2">
      <c r="A214" s="1" t="s">
        <v>428</v>
      </c>
      <c r="B214" s="1" t="s">
        <v>429</v>
      </c>
      <c r="C214" s="9">
        <v>15</v>
      </c>
      <c r="D214" s="9">
        <v>0</v>
      </c>
      <c r="E214" s="9">
        <v>412</v>
      </c>
      <c r="F214" s="9">
        <f t="shared" si="3"/>
        <v>427</v>
      </c>
      <c r="H214" s="10">
        <v>84.64</v>
      </c>
      <c r="I214" s="10">
        <v>0</v>
      </c>
      <c r="J214" s="10">
        <v>68.819999999999993</v>
      </c>
      <c r="K214" s="10">
        <v>69.39</v>
      </c>
      <c r="M214" s="10">
        <v>111.68095</v>
      </c>
      <c r="N214" s="10">
        <v>140.4365</v>
      </c>
      <c r="O214" s="10">
        <v>139.36295999999999</v>
      </c>
      <c r="Q214" s="21">
        <v>1446.03</v>
      </c>
      <c r="R214" s="21">
        <v>2194.7600000000002</v>
      </c>
      <c r="S214" s="21">
        <v>2166.81</v>
      </c>
    </row>
    <row r="215" spans="1:19" x14ac:dyDescent="0.2">
      <c r="A215" s="1" t="s">
        <v>430</v>
      </c>
      <c r="B215" s="1" t="s">
        <v>431</v>
      </c>
      <c r="C215" s="9">
        <v>5</v>
      </c>
      <c r="D215" s="9">
        <v>0</v>
      </c>
      <c r="E215" s="9">
        <v>83</v>
      </c>
      <c r="F215" s="9">
        <f t="shared" si="3"/>
        <v>88</v>
      </c>
      <c r="H215" s="10">
        <v>130</v>
      </c>
      <c r="I215" s="10">
        <v>0</v>
      </c>
      <c r="J215" s="10">
        <v>134.32</v>
      </c>
      <c r="K215" s="10">
        <v>134.12</v>
      </c>
      <c r="M215" s="10">
        <v>288.66449999999998</v>
      </c>
      <c r="N215" s="10">
        <v>258.79212999999999</v>
      </c>
      <c r="O215" s="10">
        <v>260.19789000000003</v>
      </c>
      <c r="Q215" s="21">
        <v>2220.5</v>
      </c>
      <c r="R215" s="21">
        <v>2173.9299999999998</v>
      </c>
      <c r="S215" s="21">
        <v>2176.12</v>
      </c>
    </row>
    <row r="216" spans="1:19" x14ac:dyDescent="0.2">
      <c r="A216" s="1" t="s">
        <v>432</v>
      </c>
      <c r="B216" s="1" t="s">
        <v>433</v>
      </c>
      <c r="C216" s="9">
        <v>5</v>
      </c>
      <c r="D216" s="9">
        <v>0</v>
      </c>
      <c r="E216" s="9">
        <v>190</v>
      </c>
      <c r="F216" s="9">
        <f t="shared" si="3"/>
        <v>195</v>
      </c>
      <c r="H216" s="10">
        <v>63.2</v>
      </c>
      <c r="I216" s="10">
        <v>0</v>
      </c>
      <c r="J216" s="10">
        <v>108.74</v>
      </c>
      <c r="K216" s="10">
        <v>107.55</v>
      </c>
      <c r="M216" s="10">
        <v>279.00099999999998</v>
      </c>
      <c r="N216" s="10">
        <v>296.67140999999998</v>
      </c>
      <c r="O216" s="10">
        <v>296.20883000000003</v>
      </c>
      <c r="Q216" s="21">
        <v>5183.3900000000003</v>
      </c>
      <c r="R216" s="21">
        <v>2881.59</v>
      </c>
      <c r="S216" s="21">
        <v>2941.85</v>
      </c>
    </row>
    <row r="217" spans="1:19" s="19" customFormat="1" x14ac:dyDescent="0.2">
      <c r="A217" s="15"/>
      <c r="B217" s="16" t="s">
        <v>11</v>
      </c>
      <c r="C217" s="15">
        <v>1259</v>
      </c>
      <c r="D217" s="15">
        <v>26</v>
      </c>
      <c r="E217" s="15">
        <v>5916</v>
      </c>
      <c r="F217" s="20">
        <f t="shared" si="3"/>
        <v>7201</v>
      </c>
      <c r="G217" s="15"/>
      <c r="H217" s="18">
        <v>125.52</v>
      </c>
      <c r="I217" s="18">
        <v>93.05</v>
      </c>
      <c r="J217" s="18">
        <v>123.93</v>
      </c>
      <c r="K217" s="18">
        <v>124.09</v>
      </c>
      <c r="L217" s="15"/>
      <c r="M217" s="18">
        <v>159.73254999999997</v>
      </c>
      <c r="N217" s="18">
        <v>164.31351999999998</v>
      </c>
      <c r="O217" s="18">
        <v>163.52794</v>
      </c>
      <c r="P217" s="15"/>
      <c r="Q217" s="22">
        <v>1378.14</v>
      </c>
      <c r="R217" s="22">
        <v>1432.1</v>
      </c>
      <c r="S217" s="22">
        <v>1422.85</v>
      </c>
    </row>
    <row r="219" spans="1:19" x14ac:dyDescent="0.2">
      <c r="B219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256" width="11.42578125" style="1"/>
    <col min="257" max="257" width="11.42578125" style="1" customWidth="1"/>
    <col min="258" max="258" width="35.7109375" style="1" customWidth="1"/>
    <col min="259" max="262" width="10.7109375" style="1" customWidth="1"/>
    <col min="263" max="263" width="2.7109375" style="1" customWidth="1"/>
    <col min="264" max="267" width="10.7109375" style="1" customWidth="1"/>
    <col min="268" max="268" width="2.7109375" style="1" customWidth="1"/>
    <col min="269" max="271" width="10.7109375" style="1" customWidth="1"/>
    <col min="272" max="272" width="2.7109375" style="1" customWidth="1"/>
    <col min="273" max="275" width="10.7109375" style="1" customWidth="1"/>
    <col min="276" max="512" width="11.42578125" style="1"/>
    <col min="513" max="513" width="11.42578125" style="1" customWidth="1"/>
    <col min="514" max="514" width="35.7109375" style="1" customWidth="1"/>
    <col min="515" max="518" width="10.7109375" style="1" customWidth="1"/>
    <col min="519" max="519" width="2.7109375" style="1" customWidth="1"/>
    <col min="520" max="523" width="10.7109375" style="1" customWidth="1"/>
    <col min="524" max="524" width="2.7109375" style="1" customWidth="1"/>
    <col min="525" max="527" width="10.7109375" style="1" customWidth="1"/>
    <col min="528" max="528" width="2.7109375" style="1" customWidth="1"/>
    <col min="529" max="531" width="10.7109375" style="1" customWidth="1"/>
    <col min="532" max="768" width="11.42578125" style="1"/>
    <col min="769" max="769" width="11.42578125" style="1" customWidth="1"/>
    <col min="770" max="770" width="35.7109375" style="1" customWidth="1"/>
    <col min="771" max="774" width="10.7109375" style="1" customWidth="1"/>
    <col min="775" max="775" width="2.7109375" style="1" customWidth="1"/>
    <col min="776" max="779" width="10.7109375" style="1" customWidth="1"/>
    <col min="780" max="780" width="2.7109375" style="1" customWidth="1"/>
    <col min="781" max="783" width="10.7109375" style="1" customWidth="1"/>
    <col min="784" max="784" width="2.7109375" style="1" customWidth="1"/>
    <col min="785" max="787" width="10.7109375" style="1" customWidth="1"/>
    <col min="788" max="1024" width="11.42578125" style="1"/>
    <col min="1025" max="1025" width="11.42578125" style="1" customWidth="1"/>
    <col min="1026" max="1026" width="35.7109375" style="1" customWidth="1"/>
    <col min="1027" max="1030" width="10.7109375" style="1" customWidth="1"/>
    <col min="1031" max="1031" width="2.7109375" style="1" customWidth="1"/>
    <col min="1032" max="1035" width="10.7109375" style="1" customWidth="1"/>
    <col min="1036" max="1036" width="2.7109375" style="1" customWidth="1"/>
    <col min="1037" max="1039" width="10.7109375" style="1" customWidth="1"/>
    <col min="1040" max="1040" width="2.7109375" style="1" customWidth="1"/>
    <col min="1041" max="1043" width="10.7109375" style="1" customWidth="1"/>
    <col min="1044" max="1280" width="11.42578125" style="1"/>
    <col min="1281" max="1281" width="11.42578125" style="1" customWidth="1"/>
    <col min="1282" max="1282" width="35.7109375" style="1" customWidth="1"/>
    <col min="1283" max="1286" width="10.7109375" style="1" customWidth="1"/>
    <col min="1287" max="1287" width="2.7109375" style="1" customWidth="1"/>
    <col min="1288" max="1291" width="10.7109375" style="1" customWidth="1"/>
    <col min="1292" max="1292" width="2.7109375" style="1" customWidth="1"/>
    <col min="1293" max="1295" width="10.7109375" style="1" customWidth="1"/>
    <col min="1296" max="1296" width="2.7109375" style="1" customWidth="1"/>
    <col min="1297" max="1299" width="10.7109375" style="1" customWidth="1"/>
    <col min="1300" max="1536" width="11.42578125" style="1"/>
    <col min="1537" max="1537" width="11.42578125" style="1" customWidth="1"/>
    <col min="1538" max="1538" width="35.7109375" style="1" customWidth="1"/>
    <col min="1539" max="1542" width="10.7109375" style="1" customWidth="1"/>
    <col min="1543" max="1543" width="2.7109375" style="1" customWidth="1"/>
    <col min="1544" max="1547" width="10.7109375" style="1" customWidth="1"/>
    <col min="1548" max="1548" width="2.7109375" style="1" customWidth="1"/>
    <col min="1549" max="1551" width="10.7109375" style="1" customWidth="1"/>
    <col min="1552" max="1552" width="2.7109375" style="1" customWidth="1"/>
    <col min="1553" max="1555" width="10.7109375" style="1" customWidth="1"/>
    <col min="1556" max="1792" width="11.42578125" style="1"/>
    <col min="1793" max="1793" width="11.42578125" style="1" customWidth="1"/>
    <col min="1794" max="1794" width="35.7109375" style="1" customWidth="1"/>
    <col min="1795" max="1798" width="10.7109375" style="1" customWidth="1"/>
    <col min="1799" max="1799" width="2.7109375" style="1" customWidth="1"/>
    <col min="1800" max="1803" width="10.7109375" style="1" customWidth="1"/>
    <col min="1804" max="1804" width="2.7109375" style="1" customWidth="1"/>
    <col min="1805" max="1807" width="10.7109375" style="1" customWidth="1"/>
    <col min="1808" max="1808" width="2.7109375" style="1" customWidth="1"/>
    <col min="1809" max="1811" width="10.7109375" style="1" customWidth="1"/>
    <col min="1812" max="2048" width="11.42578125" style="1"/>
    <col min="2049" max="2049" width="11.42578125" style="1" customWidth="1"/>
    <col min="2050" max="2050" width="35.7109375" style="1" customWidth="1"/>
    <col min="2051" max="2054" width="10.7109375" style="1" customWidth="1"/>
    <col min="2055" max="2055" width="2.7109375" style="1" customWidth="1"/>
    <col min="2056" max="2059" width="10.7109375" style="1" customWidth="1"/>
    <col min="2060" max="2060" width="2.7109375" style="1" customWidth="1"/>
    <col min="2061" max="2063" width="10.7109375" style="1" customWidth="1"/>
    <col min="2064" max="2064" width="2.7109375" style="1" customWidth="1"/>
    <col min="2065" max="2067" width="10.7109375" style="1" customWidth="1"/>
    <col min="2068" max="2304" width="11.42578125" style="1"/>
    <col min="2305" max="2305" width="11.42578125" style="1" customWidth="1"/>
    <col min="2306" max="2306" width="35.7109375" style="1" customWidth="1"/>
    <col min="2307" max="2310" width="10.7109375" style="1" customWidth="1"/>
    <col min="2311" max="2311" width="2.7109375" style="1" customWidth="1"/>
    <col min="2312" max="2315" width="10.7109375" style="1" customWidth="1"/>
    <col min="2316" max="2316" width="2.7109375" style="1" customWidth="1"/>
    <col min="2317" max="2319" width="10.7109375" style="1" customWidth="1"/>
    <col min="2320" max="2320" width="2.7109375" style="1" customWidth="1"/>
    <col min="2321" max="2323" width="10.7109375" style="1" customWidth="1"/>
    <col min="2324" max="2560" width="11.42578125" style="1"/>
    <col min="2561" max="2561" width="11.42578125" style="1" customWidth="1"/>
    <col min="2562" max="2562" width="35.7109375" style="1" customWidth="1"/>
    <col min="2563" max="2566" width="10.7109375" style="1" customWidth="1"/>
    <col min="2567" max="2567" width="2.7109375" style="1" customWidth="1"/>
    <col min="2568" max="2571" width="10.7109375" style="1" customWidth="1"/>
    <col min="2572" max="2572" width="2.7109375" style="1" customWidth="1"/>
    <col min="2573" max="2575" width="10.7109375" style="1" customWidth="1"/>
    <col min="2576" max="2576" width="2.7109375" style="1" customWidth="1"/>
    <col min="2577" max="2579" width="10.7109375" style="1" customWidth="1"/>
    <col min="2580" max="2816" width="11.42578125" style="1"/>
    <col min="2817" max="2817" width="11.42578125" style="1" customWidth="1"/>
    <col min="2818" max="2818" width="35.7109375" style="1" customWidth="1"/>
    <col min="2819" max="2822" width="10.7109375" style="1" customWidth="1"/>
    <col min="2823" max="2823" width="2.7109375" style="1" customWidth="1"/>
    <col min="2824" max="2827" width="10.7109375" style="1" customWidth="1"/>
    <col min="2828" max="2828" width="2.7109375" style="1" customWidth="1"/>
    <col min="2829" max="2831" width="10.7109375" style="1" customWidth="1"/>
    <col min="2832" max="2832" width="2.7109375" style="1" customWidth="1"/>
    <col min="2833" max="2835" width="10.7109375" style="1" customWidth="1"/>
    <col min="2836" max="3072" width="11.42578125" style="1"/>
    <col min="3073" max="3073" width="11.42578125" style="1" customWidth="1"/>
    <col min="3074" max="3074" width="35.7109375" style="1" customWidth="1"/>
    <col min="3075" max="3078" width="10.7109375" style="1" customWidth="1"/>
    <col min="3079" max="3079" width="2.7109375" style="1" customWidth="1"/>
    <col min="3080" max="3083" width="10.7109375" style="1" customWidth="1"/>
    <col min="3084" max="3084" width="2.7109375" style="1" customWidth="1"/>
    <col min="3085" max="3087" width="10.7109375" style="1" customWidth="1"/>
    <col min="3088" max="3088" width="2.7109375" style="1" customWidth="1"/>
    <col min="3089" max="3091" width="10.7109375" style="1" customWidth="1"/>
    <col min="3092" max="3328" width="11.42578125" style="1"/>
    <col min="3329" max="3329" width="11.42578125" style="1" customWidth="1"/>
    <col min="3330" max="3330" width="35.7109375" style="1" customWidth="1"/>
    <col min="3331" max="3334" width="10.7109375" style="1" customWidth="1"/>
    <col min="3335" max="3335" width="2.7109375" style="1" customWidth="1"/>
    <col min="3336" max="3339" width="10.7109375" style="1" customWidth="1"/>
    <col min="3340" max="3340" width="2.7109375" style="1" customWidth="1"/>
    <col min="3341" max="3343" width="10.7109375" style="1" customWidth="1"/>
    <col min="3344" max="3344" width="2.7109375" style="1" customWidth="1"/>
    <col min="3345" max="3347" width="10.7109375" style="1" customWidth="1"/>
    <col min="3348" max="3584" width="11.42578125" style="1"/>
    <col min="3585" max="3585" width="11.42578125" style="1" customWidth="1"/>
    <col min="3586" max="3586" width="35.7109375" style="1" customWidth="1"/>
    <col min="3587" max="3590" width="10.7109375" style="1" customWidth="1"/>
    <col min="3591" max="3591" width="2.7109375" style="1" customWidth="1"/>
    <col min="3592" max="3595" width="10.7109375" style="1" customWidth="1"/>
    <col min="3596" max="3596" width="2.7109375" style="1" customWidth="1"/>
    <col min="3597" max="3599" width="10.7109375" style="1" customWidth="1"/>
    <col min="3600" max="3600" width="2.7109375" style="1" customWidth="1"/>
    <col min="3601" max="3603" width="10.7109375" style="1" customWidth="1"/>
    <col min="3604" max="3840" width="11.42578125" style="1"/>
    <col min="3841" max="3841" width="11.42578125" style="1" customWidth="1"/>
    <col min="3842" max="3842" width="35.7109375" style="1" customWidth="1"/>
    <col min="3843" max="3846" width="10.7109375" style="1" customWidth="1"/>
    <col min="3847" max="3847" width="2.7109375" style="1" customWidth="1"/>
    <col min="3848" max="3851" width="10.7109375" style="1" customWidth="1"/>
    <col min="3852" max="3852" width="2.7109375" style="1" customWidth="1"/>
    <col min="3853" max="3855" width="10.7109375" style="1" customWidth="1"/>
    <col min="3856" max="3856" width="2.7109375" style="1" customWidth="1"/>
    <col min="3857" max="3859" width="10.7109375" style="1" customWidth="1"/>
    <col min="3860" max="4096" width="11.42578125" style="1"/>
    <col min="4097" max="4097" width="11.42578125" style="1" customWidth="1"/>
    <col min="4098" max="4098" width="35.7109375" style="1" customWidth="1"/>
    <col min="4099" max="4102" width="10.7109375" style="1" customWidth="1"/>
    <col min="4103" max="4103" width="2.7109375" style="1" customWidth="1"/>
    <col min="4104" max="4107" width="10.7109375" style="1" customWidth="1"/>
    <col min="4108" max="4108" width="2.7109375" style="1" customWidth="1"/>
    <col min="4109" max="4111" width="10.7109375" style="1" customWidth="1"/>
    <col min="4112" max="4112" width="2.7109375" style="1" customWidth="1"/>
    <col min="4113" max="4115" width="10.7109375" style="1" customWidth="1"/>
    <col min="4116" max="4352" width="11.42578125" style="1"/>
    <col min="4353" max="4353" width="11.42578125" style="1" customWidth="1"/>
    <col min="4354" max="4354" width="35.7109375" style="1" customWidth="1"/>
    <col min="4355" max="4358" width="10.7109375" style="1" customWidth="1"/>
    <col min="4359" max="4359" width="2.7109375" style="1" customWidth="1"/>
    <col min="4360" max="4363" width="10.7109375" style="1" customWidth="1"/>
    <col min="4364" max="4364" width="2.7109375" style="1" customWidth="1"/>
    <col min="4365" max="4367" width="10.7109375" style="1" customWidth="1"/>
    <col min="4368" max="4368" width="2.7109375" style="1" customWidth="1"/>
    <col min="4369" max="4371" width="10.7109375" style="1" customWidth="1"/>
    <col min="4372" max="4608" width="11.42578125" style="1"/>
    <col min="4609" max="4609" width="11.42578125" style="1" customWidth="1"/>
    <col min="4610" max="4610" width="35.7109375" style="1" customWidth="1"/>
    <col min="4611" max="4614" width="10.7109375" style="1" customWidth="1"/>
    <col min="4615" max="4615" width="2.7109375" style="1" customWidth="1"/>
    <col min="4616" max="4619" width="10.7109375" style="1" customWidth="1"/>
    <col min="4620" max="4620" width="2.7109375" style="1" customWidth="1"/>
    <col min="4621" max="4623" width="10.7109375" style="1" customWidth="1"/>
    <col min="4624" max="4624" width="2.7109375" style="1" customWidth="1"/>
    <col min="4625" max="4627" width="10.7109375" style="1" customWidth="1"/>
    <col min="4628" max="4864" width="11.42578125" style="1"/>
    <col min="4865" max="4865" width="11.42578125" style="1" customWidth="1"/>
    <col min="4866" max="4866" width="35.7109375" style="1" customWidth="1"/>
    <col min="4867" max="4870" width="10.7109375" style="1" customWidth="1"/>
    <col min="4871" max="4871" width="2.7109375" style="1" customWidth="1"/>
    <col min="4872" max="4875" width="10.7109375" style="1" customWidth="1"/>
    <col min="4876" max="4876" width="2.7109375" style="1" customWidth="1"/>
    <col min="4877" max="4879" width="10.7109375" style="1" customWidth="1"/>
    <col min="4880" max="4880" width="2.7109375" style="1" customWidth="1"/>
    <col min="4881" max="4883" width="10.7109375" style="1" customWidth="1"/>
    <col min="4884" max="5120" width="11.42578125" style="1"/>
    <col min="5121" max="5121" width="11.42578125" style="1" customWidth="1"/>
    <col min="5122" max="5122" width="35.7109375" style="1" customWidth="1"/>
    <col min="5123" max="5126" width="10.7109375" style="1" customWidth="1"/>
    <col min="5127" max="5127" width="2.7109375" style="1" customWidth="1"/>
    <col min="5128" max="5131" width="10.7109375" style="1" customWidth="1"/>
    <col min="5132" max="5132" width="2.7109375" style="1" customWidth="1"/>
    <col min="5133" max="5135" width="10.7109375" style="1" customWidth="1"/>
    <col min="5136" max="5136" width="2.7109375" style="1" customWidth="1"/>
    <col min="5137" max="5139" width="10.7109375" style="1" customWidth="1"/>
    <col min="5140" max="5376" width="11.42578125" style="1"/>
    <col min="5377" max="5377" width="11.42578125" style="1" customWidth="1"/>
    <col min="5378" max="5378" width="35.7109375" style="1" customWidth="1"/>
    <col min="5379" max="5382" width="10.7109375" style="1" customWidth="1"/>
    <col min="5383" max="5383" width="2.7109375" style="1" customWidth="1"/>
    <col min="5384" max="5387" width="10.7109375" style="1" customWidth="1"/>
    <col min="5388" max="5388" width="2.7109375" style="1" customWidth="1"/>
    <col min="5389" max="5391" width="10.7109375" style="1" customWidth="1"/>
    <col min="5392" max="5392" width="2.7109375" style="1" customWidth="1"/>
    <col min="5393" max="5395" width="10.7109375" style="1" customWidth="1"/>
    <col min="5396" max="5632" width="11.42578125" style="1"/>
    <col min="5633" max="5633" width="11.42578125" style="1" customWidth="1"/>
    <col min="5634" max="5634" width="35.7109375" style="1" customWidth="1"/>
    <col min="5635" max="5638" width="10.7109375" style="1" customWidth="1"/>
    <col min="5639" max="5639" width="2.7109375" style="1" customWidth="1"/>
    <col min="5640" max="5643" width="10.7109375" style="1" customWidth="1"/>
    <col min="5644" max="5644" width="2.7109375" style="1" customWidth="1"/>
    <col min="5645" max="5647" width="10.7109375" style="1" customWidth="1"/>
    <col min="5648" max="5648" width="2.7109375" style="1" customWidth="1"/>
    <col min="5649" max="5651" width="10.7109375" style="1" customWidth="1"/>
    <col min="5652" max="5888" width="11.42578125" style="1"/>
    <col min="5889" max="5889" width="11.42578125" style="1" customWidth="1"/>
    <col min="5890" max="5890" width="35.7109375" style="1" customWidth="1"/>
    <col min="5891" max="5894" width="10.7109375" style="1" customWidth="1"/>
    <col min="5895" max="5895" width="2.7109375" style="1" customWidth="1"/>
    <col min="5896" max="5899" width="10.7109375" style="1" customWidth="1"/>
    <col min="5900" max="5900" width="2.7109375" style="1" customWidth="1"/>
    <col min="5901" max="5903" width="10.7109375" style="1" customWidth="1"/>
    <col min="5904" max="5904" width="2.7109375" style="1" customWidth="1"/>
    <col min="5905" max="5907" width="10.7109375" style="1" customWidth="1"/>
    <col min="5908" max="6144" width="11.42578125" style="1"/>
    <col min="6145" max="6145" width="11.42578125" style="1" customWidth="1"/>
    <col min="6146" max="6146" width="35.7109375" style="1" customWidth="1"/>
    <col min="6147" max="6150" width="10.7109375" style="1" customWidth="1"/>
    <col min="6151" max="6151" width="2.7109375" style="1" customWidth="1"/>
    <col min="6152" max="6155" width="10.7109375" style="1" customWidth="1"/>
    <col min="6156" max="6156" width="2.7109375" style="1" customWidth="1"/>
    <col min="6157" max="6159" width="10.7109375" style="1" customWidth="1"/>
    <col min="6160" max="6160" width="2.7109375" style="1" customWidth="1"/>
    <col min="6161" max="6163" width="10.7109375" style="1" customWidth="1"/>
    <col min="6164" max="6400" width="11.42578125" style="1"/>
    <col min="6401" max="6401" width="11.42578125" style="1" customWidth="1"/>
    <col min="6402" max="6402" width="35.7109375" style="1" customWidth="1"/>
    <col min="6403" max="6406" width="10.7109375" style="1" customWidth="1"/>
    <col min="6407" max="6407" width="2.7109375" style="1" customWidth="1"/>
    <col min="6408" max="6411" width="10.7109375" style="1" customWidth="1"/>
    <col min="6412" max="6412" width="2.7109375" style="1" customWidth="1"/>
    <col min="6413" max="6415" width="10.7109375" style="1" customWidth="1"/>
    <col min="6416" max="6416" width="2.7109375" style="1" customWidth="1"/>
    <col min="6417" max="6419" width="10.7109375" style="1" customWidth="1"/>
    <col min="6420" max="6656" width="11.42578125" style="1"/>
    <col min="6657" max="6657" width="11.42578125" style="1" customWidth="1"/>
    <col min="6658" max="6658" width="35.7109375" style="1" customWidth="1"/>
    <col min="6659" max="6662" width="10.7109375" style="1" customWidth="1"/>
    <col min="6663" max="6663" width="2.7109375" style="1" customWidth="1"/>
    <col min="6664" max="6667" width="10.7109375" style="1" customWidth="1"/>
    <col min="6668" max="6668" width="2.7109375" style="1" customWidth="1"/>
    <col min="6669" max="6671" width="10.7109375" style="1" customWidth="1"/>
    <col min="6672" max="6672" width="2.7109375" style="1" customWidth="1"/>
    <col min="6673" max="6675" width="10.7109375" style="1" customWidth="1"/>
    <col min="6676" max="6912" width="11.42578125" style="1"/>
    <col min="6913" max="6913" width="11.42578125" style="1" customWidth="1"/>
    <col min="6914" max="6914" width="35.7109375" style="1" customWidth="1"/>
    <col min="6915" max="6918" width="10.7109375" style="1" customWidth="1"/>
    <col min="6919" max="6919" width="2.7109375" style="1" customWidth="1"/>
    <col min="6920" max="6923" width="10.7109375" style="1" customWidth="1"/>
    <col min="6924" max="6924" width="2.7109375" style="1" customWidth="1"/>
    <col min="6925" max="6927" width="10.7109375" style="1" customWidth="1"/>
    <col min="6928" max="6928" width="2.7109375" style="1" customWidth="1"/>
    <col min="6929" max="6931" width="10.7109375" style="1" customWidth="1"/>
    <col min="6932" max="7168" width="11.42578125" style="1"/>
    <col min="7169" max="7169" width="11.42578125" style="1" customWidth="1"/>
    <col min="7170" max="7170" width="35.7109375" style="1" customWidth="1"/>
    <col min="7171" max="7174" width="10.7109375" style="1" customWidth="1"/>
    <col min="7175" max="7175" width="2.7109375" style="1" customWidth="1"/>
    <col min="7176" max="7179" width="10.7109375" style="1" customWidth="1"/>
    <col min="7180" max="7180" width="2.7109375" style="1" customWidth="1"/>
    <col min="7181" max="7183" width="10.7109375" style="1" customWidth="1"/>
    <col min="7184" max="7184" width="2.7109375" style="1" customWidth="1"/>
    <col min="7185" max="7187" width="10.7109375" style="1" customWidth="1"/>
    <col min="7188" max="7424" width="11.42578125" style="1"/>
    <col min="7425" max="7425" width="11.42578125" style="1" customWidth="1"/>
    <col min="7426" max="7426" width="35.7109375" style="1" customWidth="1"/>
    <col min="7427" max="7430" width="10.7109375" style="1" customWidth="1"/>
    <col min="7431" max="7431" width="2.7109375" style="1" customWidth="1"/>
    <col min="7432" max="7435" width="10.7109375" style="1" customWidth="1"/>
    <col min="7436" max="7436" width="2.7109375" style="1" customWidth="1"/>
    <col min="7437" max="7439" width="10.7109375" style="1" customWidth="1"/>
    <col min="7440" max="7440" width="2.7109375" style="1" customWidth="1"/>
    <col min="7441" max="7443" width="10.7109375" style="1" customWidth="1"/>
    <col min="7444" max="7680" width="11.42578125" style="1"/>
    <col min="7681" max="7681" width="11.42578125" style="1" customWidth="1"/>
    <col min="7682" max="7682" width="35.7109375" style="1" customWidth="1"/>
    <col min="7683" max="7686" width="10.7109375" style="1" customWidth="1"/>
    <col min="7687" max="7687" width="2.7109375" style="1" customWidth="1"/>
    <col min="7688" max="7691" width="10.7109375" style="1" customWidth="1"/>
    <col min="7692" max="7692" width="2.7109375" style="1" customWidth="1"/>
    <col min="7693" max="7695" width="10.7109375" style="1" customWidth="1"/>
    <col min="7696" max="7696" width="2.7109375" style="1" customWidth="1"/>
    <col min="7697" max="7699" width="10.7109375" style="1" customWidth="1"/>
    <col min="7700" max="7936" width="11.42578125" style="1"/>
    <col min="7937" max="7937" width="11.42578125" style="1" customWidth="1"/>
    <col min="7938" max="7938" width="35.7109375" style="1" customWidth="1"/>
    <col min="7939" max="7942" width="10.7109375" style="1" customWidth="1"/>
    <col min="7943" max="7943" width="2.7109375" style="1" customWidth="1"/>
    <col min="7944" max="7947" width="10.7109375" style="1" customWidth="1"/>
    <col min="7948" max="7948" width="2.7109375" style="1" customWidth="1"/>
    <col min="7949" max="7951" width="10.7109375" style="1" customWidth="1"/>
    <col min="7952" max="7952" width="2.7109375" style="1" customWidth="1"/>
    <col min="7953" max="7955" width="10.7109375" style="1" customWidth="1"/>
    <col min="7956" max="8192" width="11.42578125" style="1"/>
    <col min="8193" max="8193" width="11.42578125" style="1" customWidth="1"/>
    <col min="8194" max="8194" width="35.7109375" style="1" customWidth="1"/>
    <col min="8195" max="8198" width="10.7109375" style="1" customWidth="1"/>
    <col min="8199" max="8199" width="2.7109375" style="1" customWidth="1"/>
    <col min="8200" max="8203" width="10.7109375" style="1" customWidth="1"/>
    <col min="8204" max="8204" width="2.7109375" style="1" customWidth="1"/>
    <col min="8205" max="8207" width="10.7109375" style="1" customWidth="1"/>
    <col min="8208" max="8208" width="2.7109375" style="1" customWidth="1"/>
    <col min="8209" max="8211" width="10.7109375" style="1" customWidth="1"/>
    <col min="8212" max="8448" width="11.42578125" style="1"/>
    <col min="8449" max="8449" width="11.42578125" style="1" customWidth="1"/>
    <col min="8450" max="8450" width="35.7109375" style="1" customWidth="1"/>
    <col min="8451" max="8454" width="10.7109375" style="1" customWidth="1"/>
    <col min="8455" max="8455" width="2.7109375" style="1" customWidth="1"/>
    <col min="8456" max="8459" width="10.7109375" style="1" customWidth="1"/>
    <col min="8460" max="8460" width="2.7109375" style="1" customWidth="1"/>
    <col min="8461" max="8463" width="10.7109375" style="1" customWidth="1"/>
    <col min="8464" max="8464" width="2.7109375" style="1" customWidth="1"/>
    <col min="8465" max="8467" width="10.7109375" style="1" customWidth="1"/>
    <col min="8468" max="8704" width="11.42578125" style="1"/>
    <col min="8705" max="8705" width="11.42578125" style="1" customWidth="1"/>
    <col min="8706" max="8706" width="35.7109375" style="1" customWidth="1"/>
    <col min="8707" max="8710" width="10.7109375" style="1" customWidth="1"/>
    <col min="8711" max="8711" width="2.7109375" style="1" customWidth="1"/>
    <col min="8712" max="8715" width="10.7109375" style="1" customWidth="1"/>
    <col min="8716" max="8716" width="2.7109375" style="1" customWidth="1"/>
    <col min="8717" max="8719" width="10.7109375" style="1" customWidth="1"/>
    <col min="8720" max="8720" width="2.7109375" style="1" customWidth="1"/>
    <col min="8721" max="8723" width="10.7109375" style="1" customWidth="1"/>
    <col min="8724" max="8960" width="11.42578125" style="1"/>
    <col min="8961" max="8961" width="11.42578125" style="1" customWidth="1"/>
    <col min="8962" max="8962" width="35.7109375" style="1" customWidth="1"/>
    <col min="8963" max="8966" width="10.7109375" style="1" customWidth="1"/>
    <col min="8967" max="8967" width="2.7109375" style="1" customWidth="1"/>
    <col min="8968" max="8971" width="10.7109375" style="1" customWidth="1"/>
    <col min="8972" max="8972" width="2.7109375" style="1" customWidth="1"/>
    <col min="8973" max="8975" width="10.7109375" style="1" customWidth="1"/>
    <col min="8976" max="8976" width="2.7109375" style="1" customWidth="1"/>
    <col min="8977" max="8979" width="10.7109375" style="1" customWidth="1"/>
    <col min="8980" max="9216" width="11.42578125" style="1"/>
    <col min="9217" max="9217" width="11.42578125" style="1" customWidth="1"/>
    <col min="9218" max="9218" width="35.7109375" style="1" customWidth="1"/>
    <col min="9219" max="9222" width="10.7109375" style="1" customWidth="1"/>
    <col min="9223" max="9223" width="2.7109375" style="1" customWidth="1"/>
    <col min="9224" max="9227" width="10.7109375" style="1" customWidth="1"/>
    <col min="9228" max="9228" width="2.7109375" style="1" customWidth="1"/>
    <col min="9229" max="9231" width="10.7109375" style="1" customWidth="1"/>
    <col min="9232" max="9232" width="2.7109375" style="1" customWidth="1"/>
    <col min="9233" max="9235" width="10.7109375" style="1" customWidth="1"/>
    <col min="9236" max="9472" width="11.42578125" style="1"/>
    <col min="9473" max="9473" width="11.42578125" style="1" customWidth="1"/>
    <col min="9474" max="9474" width="35.7109375" style="1" customWidth="1"/>
    <col min="9475" max="9478" width="10.7109375" style="1" customWidth="1"/>
    <col min="9479" max="9479" width="2.7109375" style="1" customWidth="1"/>
    <col min="9480" max="9483" width="10.7109375" style="1" customWidth="1"/>
    <col min="9484" max="9484" width="2.7109375" style="1" customWidth="1"/>
    <col min="9485" max="9487" width="10.7109375" style="1" customWidth="1"/>
    <col min="9488" max="9488" width="2.7109375" style="1" customWidth="1"/>
    <col min="9489" max="9491" width="10.7109375" style="1" customWidth="1"/>
    <col min="9492" max="9728" width="11.42578125" style="1"/>
    <col min="9729" max="9729" width="11.42578125" style="1" customWidth="1"/>
    <col min="9730" max="9730" width="35.7109375" style="1" customWidth="1"/>
    <col min="9731" max="9734" width="10.7109375" style="1" customWidth="1"/>
    <col min="9735" max="9735" width="2.7109375" style="1" customWidth="1"/>
    <col min="9736" max="9739" width="10.7109375" style="1" customWidth="1"/>
    <col min="9740" max="9740" width="2.7109375" style="1" customWidth="1"/>
    <col min="9741" max="9743" width="10.7109375" style="1" customWidth="1"/>
    <col min="9744" max="9744" width="2.7109375" style="1" customWidth="1"/>
    <col min="9745" max="9747" width="10.7109375" style="1" customWidth="1"/>
    <col min="9748" max="9984" width="11.42578125" style="1"/>
    <col min="9985" max="9985" width="11.42578125" style="1" customWidth="1"/>
    <col min="9986" max="9986" width="35.7109375" style="1" customWidth="1"/>
    <col min="9987" max="9990" width="10.7109375" style="1" customWidth="1"/>
    <col min="9991" max="9991" width="2.7109375" style="1" customWidth="1"/>
    <col min="9992" max="9995" width="10.7109375" style="1" customWidth="1"/>
    <col min="9996" max="9996" width="2.7109375" style="1" customWidth="1"/>
    <col min="9997" max="9999" width="10.7109375" style="1" customWidth="1"/>
    <col min="10000" max="10000" width="2.7109375" style="1" customWidth="1"/>
    <col min="10001" max="10003" width="10.7109375" style="1" customWidth="1"/>
    <col min="10004" max="10240" width="11.42578125" style="1"/>
    <col min="10241" max="10241" width="11.42578125" style="1" customWidth="1"/>
    <col min="10242" max="10242" width="35.7109375" style="1" customWidth="1"/>
    <col min="10243" max="10246" width="10.7109375" style="1" customWidth="1"/>
    <col min="10247" max="10247" width="2.7109375" style="1" customWidth="1"/>
    <col min="10248" max="10251" width="10.7109375" style="1" customWidth="1"/>
    <col min="10252" max="10252" width="2.7109375" style="1" customWidth="1"/>
    <col min="10253" max="10255" width="10.7109375" style="1" customWidth="1"/>
    <col min="10256" max="10256" width="2.7109375" style="1" customWidth="1"/>
    <col min="10257" max="10259" width="10.7109375" style="1" customWidth="1"/>
    <col min="10260" max="10496" width="11.42578125" style="1"/>
    <col min="10497" max="10497" width="11.42578125" style="1" customWidth="1"/>
    <col min="10498" max="10498" width="35.7109375" style="1" customWidth="1"/>
    <col min="10499" max="10502" width="10.7109375" style="1" customWidth="1"/>
    <col min="10503" max="10503" width="2.7109375" style="1" customWidth="1"/>
    <col min="10504" max="10507" width="10.7109375" style="1" customWidth="1"/>
    <col min="10508" max="10508" width="2.7109375" style="1" customWidth="1"/>
    <col min="10509" max="10511" width="10.7109375" style="1" customWidth="1"/>
    <col min="10512" max="10512" width="2.7109375" style="1" customWidth="1"/>
    <col min="10513" max="10515" width="10.7109375" style="1" customWidth="1"/>
    <col min="10516" max="10752" width="11.42578125" style="1"/>
    <col min="10753" max="10753" width="11.42578125" style="1" customWidth="1"/>
    <col min="10754" max="10754" width="35.7109375" style="1" customWidth="1"/>
    <col min="10755" max="10758" width="10.7109375" style="1" customWidth="1"/>
    <col min="10759" max="10759" width="2.7109375" style="1" customWidth="1"/>
    <col min="10760" max="10763" width="10.7109375" style="1" customWidth="1"/>
    <col min="10764" max="10764" width="2.7109375" style="1" customWidth="1"/>
    <col min="10765" max="10767" width="10.7109375" style="1" customWidth="1"/>
    <col min="10768" max="10768" width="2.7109375" style="1" customWidth="1"/>
    <col min="10769" max="10771" width="10.7109375" style="1" customWidth="1"/>
    <col min="10772" max="11008" width="11.42578125" style="1"/>
    <col min="11009" max="11009" width="11.42578125" style="1" customWidth="1"/>
    <col min="11010" max="11010" width="35.7109375" style="1" customWidth="1"/>
    <col min="11011" max="11014" width="10.7109375" style="1" customWidth="1"/>
    <col min="11015" max="11015" width="2.7109375" style="1" customWidth="1"/>
    <col min="11016" max="11019" width="10.7109375" style="1" customWidth="1"/>
    <col min="11020" max="11020" width="2.7109375" style="1" customWidth="1"/>
    <col min="11021" max="11023" width="10.7109375" style="1" customWidth="1"/>
    <col min="11024" max="11024" width="2.7109375" style="1" customWidth="1"/>
    <col min="11025" max="11027" width="10.7109375" style="1" customWidth="1"/>
    <col min="11028" max="11264" width="11.42578125" style="1"/>
    <col min="11265" max="11265" width="11.42578125" style="1" customWidth="1"/>
    <col min="11266" max="11266" width="35.7109375" style="1" customWidth="1"/>
    <col min="11267" max="11270" width="10.7109375" style="1" customWidth="1"/>
    <col min="11271" max="11271" width="2.7109375" style="1" customWidth="1"/>
    <col min="11272" max="11275" width="10.7109375" style="1" customWidth="1"/>
    <col min="11276" max="11276" width="2.7109375" style="1" customWidth="1"/>
    <col min="11277" max="11279" width="10.7109375" style="1" customWidth="1"/>
    <col min="11280" max="11280" width="2.7109375" style="1" customWidth="1"/>
    <col min="11281" max="11283" width="10.7109375" style="1" customWidth="1"/>
    <col min="11284" max="11520" width="11.42578125" style="1"/>
    <col min="11521" max="11521" width="11.42578125" style="1" customWidth="1"/>
    <col min="11522" max="11522" width="35.7109375" style="1" customWidth="1"/>
    <col min="11523" max="11526" width="10.7109375" style="1" customWidth="1"/>
    <col min="11527" max="11527" width="2.7109375" style="1" customWidth="1"/>
    <col min="11528" max="11531" width="10.7109375" style="1" customWidth="1"/>
    <col min="11532" max="11532" width="2.7109375" style="1" customWidth="1"/>
    <col min="11533" max="11535" width="10.7109375" style="1" customWidth="1"/>
    <col min="11536" max="11536" width="2.7109375" style="1" customWidth="1"/>
    <col min="11537" max="11539" width="10.7109375" style="1" customWidth="1"/>
    <col min="11540" max="11776" width="11.42578125" style="1"/>
    <col min="11777" max="11777" width="11.42578125" style="1" customWidth="1"/>
    <col min="11778" max="11778" width="35.7109375" style="1" customWidth="1"/>
    <col min="11779" max="11782" width="10.7109375" style="1" customWidth="1"/>
    <col min="11783" max="11783" width="2.7109375" style="1" customWidth="1"/>
    <col min="11784" max="11787" width="10.7109375" style="1" customWidth="1"/>
    <col min="11788" max="11788" width="2.7109375" style="1" customWidth="1"/>
    <col min="11789" max="11791" width="10.7109375" style="1" customWidth="1"/>
    <col min="11792" max="11792" width="2.7109375" style="1" customWidth="1"/>
    <col min="11793" max="11795" width="10.7109375" style="1" customWidth="1"/>
    <col min="11796" max="12032" width="11.42578125" style="1"/>
    <col min="12033" max="12033" width="11.42578125" style="1" customWidth="1"/>
    <col min="12034" max="12034" width="35.7109375" style="1" customWidth="1"/>
    <col min="12035" max="12038" width="10.7109375" style="1" customWidth="1"/>
    <col min="12039" max="12039" width="2.7109375" style="1" customWidth="1"/>
    <col min="12040" max="12043" width="10.7109375" style="1" customWidth="1"/>
    <col min="12044" max="12044" width="2.7109375" style="1" customWidth="1"/>
    <col min="12045" max="12047" width="10.7109375" style="1" customWidth="1"/>
    <col min="12048" max="12048" width="2.7109375" style="1" customWidth="1"/>
    <col min="12049" max="12051" width="10.7109375" style="1" customWidth="1"/>
    <col min="12052" max="12288" width="11.42578125" style="1"/>
    <col min="12289" max="12289" width="11.42578125" style="1" customWidth="1"/>
    <col min="12290" max="12290" width="35.7109375" style="1" customWidth="1"/>
    <col min="12291" max="12294" width="10.7109375" style="1" customWidth="1"/>
    <col min="12295" max="12295" width="2.7109375" style="1" customWidth="1"/>
    <col min="12296" max="12299" width="10.7109375" style="1" customWidth="1"/>
    <col min="12300" max="12300" width="2.7109375" style="1" customWidth="1"/>
    <col min="12301" max="12303" width="10.7109375" style="1" customWidth="1"/>
    <col min="12304" max="12304" width="2.7109375" style="1" customWidth="1"/>
    <col min="12305" max="12307" width="10.7109375" style="1" customWidth="1"/>
    <col min="12308" max="12544" width="11.42578125" style="1"/>
    <col min="12545" max="12545" width="11.42578125" style="1" customWidth="1"/>
    <col min="12546" max="12546" width="35.7109375" style="1" customWidth="1"/>
    <col min="12547" max="12550" width="10.7109375" style="1" customWidth="1"/>
    <col min="12551" max="12551" width="2.7109375" style="1" customWidth="1"/>
    <col min="12552" max="12555" width="10.7109375" style="1" customWidth="1"/>
    <col min="12556" max="12556" width="2.7109375" style="1" customWidth="1"/>
    <col min="12557" max="12559" width="10.7109375" style="1" customWidth="1"/>
    <col min="12560" max="12560" width="2.7109375" style="1" customWidth="1"/>
    <col min="12561" max="12563" width="10.7109375" style="1" customWidth="1"/>
    <col min="12564" max="12800" width="11.42578125" style="1"/>
    <col min="12801" max="12801" width="11.42578125" style="1" customWidth="1"/>
    <col min="12802" max="12802" width="35.7109375" style="1" customWidth="1"/>
    <col min="12803" max="12806" width="10.7109375" style="1" customWidth="1"/>
    <col min="12807" max="12807" width="2.7109375" style="1" customWidth="1"/>
    <col min="12808" max="12811" width="10.7109375" style="1" customWidth="1"/>
    <col min="12812" max="12812" width="2.7109375" style="1" customWidth="1"/>
    <col min="12813" max="12815" width="10.7109375" style="1" customWidth="1"/>
    <col min="12816" max="12816" width="2.7109375" style="1" customWidth="1"/>
    <col min="12817" max="12819" width="10.7109375" style="1" customWidth="1"/>
    <col min="12820" max="13056" width="11.42578125" style="1"/>
    <col min="13057" max="13057" width="11.42578125" style="1" customWidth="1"/>
    <col min="13058" max="13058" width="35.7109375" style="1" customWidth="1"/>
    <col min="13059" max="13062" width="10.7109375" style="1" customWidth="1"/>
    <col min="13063" max="13063" width="2.7109375" style="1" customWidth="1"/>
    <col min="13064" max="13067" width="10.7109375" style="1" customWidth="1"/>
    <col min="13068" max="13068" width="2.7109375" style="1" customWidth="1"/>
    <col min="13069" max="13071" width="10.7109375" style="1" customWidth="1"/>
    <col min="13072" max="13072" width="2.7109375" style="1" customWidth="1"/>
    <col min="13073" max="13075" width="10.7109375" style="1" customWidth="1"/>
    <col min="13076" max="13312" width="11.42578125" style="1"/>
    <col min="13313" max="13313" width="11.42578125" style="1" customWidth="1"/>
    <col min="13314" max="13314" width="35.7109375" style="1" customWidth="1"/>
    <col min="13315" max="13318" width="10.7109375" style="1" customWidth="1"/>
    <col min="13319" max="13319" width="2.7109375" style="1" customWidth="1"/>
    <col min="13320" max="13323" width="10.7109375" style="1" customWidth="1"/>
    <col min="13324" max="13324" width="2.7109375" style="1" customWidth="1"/>
    <col min="13325" max="13327" width="10.7109375" style="1" customWidth="1"/>
    <col min="13328" max="13328" width="2.7109375" style="1" customWidth="1"/>
    <col min="13329" max="13331" width="10.7109375" style="1" customWidth="1"/>
    <col min="13332" max="13568" width="11.42578125" style="1"/>
    <col min="13569" max="13569" width="11.42578125" style="1" customWidth="1"/>
    <col min="13570" max="13570" width="35.7109375" style="1" customWidth="1"/>
    <col min="13571" max="13574" width="10.7109375" style="1" customWidth="1"/>
    <col min="13575" max="13575" width="2.7109375" style="1" customWidth="1"/>
    <col min="13576" max="13579" width="10.7109375" style="1" customWidth="1"/>
    <col min="13580" max="13580" width="2.7109375" style="1" customWidth="1"/>
    <col min="13581" max="13583" width="10.7109375" style="1" customWidth="1"/>
    <col min="13584" max="13584" width="2.7109375" style="1" customWidth="1"/>
    <col min="13585" max="13587" width="10.7109375" style="1" customWidth="1"/>
    <col min="13588" max="13824" width="11.42578125" style="1"/>
    <col min="13825" max="13825" width="11.42578125" style="1" customWidth="1"/>
    <col min="13826" max="13826" width="35.7109375" style="1" customWidth="1"/>
    <col min="13827" max="13830" width="10.7109375" style="1" customWidth="1"/>
    <col min="13831" max="13831" width="2.7109375" style="1" customWidth="1"/>
    <col min="13832" max="13835" width="10.7109375" style="1" customWidth="1"/>
    <col min="13836" max="13836" width="2.7109375" style="1" customWidth="1"/>
    <col min="13837" max="13839" width="10.7109375" style="1" customWidth="1"/>
    <col min="13840" max="13840" width="2.7109375" style="1" customWidth="1"/>
    <col min="13841" max="13843" width="10.7109375" style="1" customWidth="1"/>
    <col min="13844" max="14080" width="11.42578125" style="1"/>
    <col min="14081" max="14081" width="11.42578125" style="1" customWidth="1"/>
    <col min="14082" max="14082" width="35.7109375" style="1" customWidth="1"/>
    <col min="14083" max="14086" width="10.7109375" style="1" customWidth="1"/>
    <col min="14087" max="14087" width="2.7109375" style="1" customWidth="1"/>
    <col min="14088" max="14091" width="10.7109375" style="1" customWidth="1"/>
    <col min="14092" max="14092" width="2.7109375" style="1" customWidth="1"/>
    <col min="14093" max="14095" width="10.7109375" style="1" customWidth="1"/>
    <col min="14096" max="14096" width="2.7109375" style="1" customWidth="1"/>
    <col min="14097" max="14099" width="10.7109375" style="1" customWidth="1"/>
    <col min="14100" max="14336" width="11.42578125" style="1"/>
    <col min="14337" max="14337" width="11.42578125" style="1" customWidth="1"/>
    <col min="14338" max="14338" width="35.7109375" style="1" customWidth="1"/>
    <col min="14339" max="14342" width="10.7109375" style="1" customWidth="1"/>
    <col min="14343" max="14343" width="2.7109375" style="1" customWidth="1"/>
    <col min="14344" max="14347" width="10.7109375" style="1" customWidth="1"/>
    <col min="14348" max="14348" width="2.7109375" style="1" customWidth="1"/>
    <col min="14349" max="14351" width="10.7109375" style="1" customWidth="1"/>
    <col min="14352" max="14352" width="2.7109375" style="1" customWidth="1"/>
    <col min="14353" max="14355" width="10.7109375" style="1" customWidth="1"/>
    <col min="14356" max="14592" width="11.42578125" style="1"/>
    <col min="14593" max="14593" width="11.42578125" style="1" customWidth="1"/>
    <col min="14594" max="14594" width="35.7109375" style="1" customWidth="1"/>
    <col min="14595" max="14598" width="10.7109375" style="1" customWidth="1"/>
    <col min="14599" max="14599" width="2.7109375" style="1" customWidth="1"/>
    <col min="14600" max="14603" width="10.7109375" style="1" customWidth="1"/>
    <col min="14604" max="14604" width="2.7109375" style="1" customWidth="1"/>
    <col min="14605" max="14607" width="10.7109375" style="1" customWidth="1"/>
    <col min="14608" max="14608" width="2.7109375" style="1" customWidth="1"/>
    <col min="14609" max="14611" width="10.7109375" style="1" customWidth="1"/>
    <col min="14612" max="14848" width="11.42578125" style="1"/>
    <col min="14849" max="14849" width="11.42578125" style="1" customWidth="1"/>
    <col min="14850" max="14850" width="35.7109375" style="1" customWidth="1"/>
    <col min="14851" max="14854" width="10.7109375" style="1" customWidth="1"/>
    <col min="14855" max="14855" width="2.7109375" style="1" customWidth="1"/>
    <col min="14856" max="14859" width="10.7109375" style="1" customWidth="1"/>
    <col min="14860" max="14860" width="2.7109375" style="1" customWidth="1"/>
    <col min="14861" max="14863" width="10.7109375" style="1" customWidth="1"/>
    <col min="14864" max="14864" width="2.7109375" style="1" customWidth="1"/>
    <col min="14865" max="14867" width="10.7109375" style="1" customWidth="1"/>
    <col min="14868" max="15104" width="11.42578125" style="1"/>
    <col min="15105" max="15105" width="11.42578125" style="1" customWidth="1"/>
    <col min="15106" max="15106" width="35.7109375" style="1" customWidth="1"/>
    <col min="15107" max="15110" width="10.7109375" style="1" customWidth="1"/>
    <col min="15111" max="15111" width="2.7109375" style="1" customWidth="1"/>
    <col min="15112" max="15115" width="10.7109375" style="1" customWidth="1"/>
    <col min="15116" max="15116" width="2.7109375" style="1" customWidth="1"/>
    <col min="15117" max="15119" width="10.7109375" style="1" customWidth="1"/>
    <col min="15120" max="15120" width="2.7109375" style="1" customWidth="1"/>
    <col min="15121" max="15123" width="10.7109375" style="1" customWidth="1"/>
    <col min="15124" max="15360" width="11.42578125" style="1"/>
    <col min="15361" max="15361" width="11.42578125" style="1" customWidth="1"/>
    <col min="15362" max="15362" width="35.7109375" style="1" customWidth="1"/>
    <col min="15363" max="15366" width="10.7109375" style="1" customWidth="1"/>
    <col min="15367" max="15367" width="2.7109375" style="1" customWidth="1"/>
    <col min="15368" max="15371" width="10.7109375" style="1" customWidth="1"/>
    <col min="15372" max="15372" width="2.7109375" style="1" customWidth="1"/>
    <col min="15373" max="15375" width="10.7109375" style="1" customWidth="1"/>
    <col min="15376" max="15376" width="2.7109375" style="1" customWidth="1"/>
    <col min="15377" max="15379" width="10.7109375" style="1" customWidth="1"/>
    <col min="15380" max="15616" width="11.42578125" style="1"/>
    <col min="15617" max="15617" width="11.42578125" style="1" customWidth="1"/>
    <col min="15618" max="15618" width="35.7109375" style="1" customWidth="1"/>
    <col min="15619" max="15622" width="10.7109375" style="1" customWidth="1"/>
    <col min="15623" max="15623" width="2.7109375" style="1" customWidth="1"/>
    <col min="15624" max="15627" width="10.7109375" style="1" customWidth="1"/>
    <col min="15628" max="15628" width="2.7109375" style="1" customWidth="1"/>
    <col min="15629" max="15631" width="10.7109375" style="1" customWidth="1"/>
    <col min="15632" max="15632" width="2.7109375" style="1" customWidth="1"/>
    <col min="15633" max="15635" width="10.7109375" style="1" customWidth="1"/>
    <col min="15636" max="15872" width="11.42578125" style="1"/>
    <col min="15873" max="15873" width="11.42578125" style="1" customWidth="1"/>
    <col min="15874" max="15874" width="35.7109375" style="1" customWidth="1"/>
    <col min="15875" max="15878" width="10.7109375" style="1" customWidth="1"/>
    <col min="15879" max="15879" width="2.7109375" style="1" customWidth="1"/>
    <col min="15880" max="15883" width="10.7109375" style="1" customWidth="1"/>
    <col min="15884" max="15884" width="2.7109375" style="1" customWidth="1"/>
    <col min="15885" max="15887" width="10.7109375" style="1" customWidth="1"/>
    <col min="15888" max="15888" width="2.7109375" style="1" customWidth="1"/>
    <col min="15889" max="15891" width="10.7109375" style="1" customWidth="1"/>
    <col min="15892" max="16128" width="11.42578125" style="1"/>
    <col min="16129" max="16129" width="11.42578125" style="1" customWidth="1"/>
    <col min="16130" max="16130" width="35.7109375" style="1" customWidth="1"/>
    <col min="16131" max="16134" width="10.7109375" style="1" customWidth="1"/>
    <col min="16135" max="16135" width="2.7109375" style="1" customWidth="1"/>
    <col min="16136" max="16139" width="10.7109375" style="1" customWidth="1"/>
    <col min="16140" max="16140" width="2.7109375" style="1" customWidth="1"/>
    <col min="16141" max="16143" width="10.7109375" style="1" customWidth="1"/>
    <col min="16144" max="16144" width="2.7109375" style="1" customWidth="1"/>
    <col min="16145" max="16147" width="10.7109375" style="1" customWidth="1"/>
    <col min="16148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86</v>
      </c>
      <c r="F6" s="9">
        <f>SUM(C6:E6)</f>
        <v>86</v>
      </c>
      <c r="H6" s="10">
        <v>0</v>
      </c>
      <c r="I6" s="10">
        <v>0</v>
      </c>
      <c r="J6" s="10">
        <v>126.86</v>
      </c>
      <c r="K6" s="10">
        <v>126.86</v>
      </c>
      <c r="M6" s="10">
        <v>0</v>
      </c>
      <c r="N6" s="10">
        <v>207.72523000000001</v>
      </c>
      <c r="O6" s="10">
        <v>207.72523000000001</v>
      </c>
      <c r="Q6" s="10">
        <v>0</v>
      </c>
      <c r="R6" s="10">
        <v>1818.96</v>
      </c>
      <c r="S6" s="10">
        <v>1818.96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32</v>
      </c>
      <c r="F7" s="9">
        <f t="shared" ref="F7:F70" si="0">SUM(C7:E7)</f>
        <v>32</v>
      </c>
      <c r="H7" s="10">
        <v>0</v>
      </c>
      <c r="I7" s="10">
        <v>0</v>
      </c>
      <c r="J7" s="10">
        <v>104.31</v>
      </c>
      <c r="K7" s="10">
        <v>104.31</v>
      </c>
      <c r="M7" s="10">
        <v>0</v>
      </c>
      <c r="N7" s="10">
        <v>80.745059999999995</v>
      </c>
      <c r="O7" s="10">
        <v>80.745059999999995</v>
      </c>
      <c r="Q7" s="10">
        <v>0</v>
      </c>
      <c r="R7" s="10">
        <v>808.04</v>
      </c>
      <c r="S7" s="10">
        <v>808.04</v>
      </c>
    </row>
    <row r="8" spans="1:19" x14ac:dyDescent="0.2">
      <c r="A8" s="9" t="s">
        <v>18</v>
      </c>
      <c r="B8" s="9" t="s">
        <v>19</v>
      </c>
      <c r="C8" s="9">
        <v>7</v>
      </c>
      <c r="D8" s="9">
        <v>0</v>
      </c>
      <c r="E8" s="9">
        <v>107</v>
      </c>
      <c r="F8" s="9">
        <f t="shared" si="0"/>
        <v>114</v>
      </c>
      <c r="H8" s="10">
        <v>76</v>
      </c>
      <c r="I8" s="10">
        <v>0</v>
      </c>
      <c r="J8" s="10">
        <v>100.48</v>
      </c>
      <c r="K8" s="10">
        <v>99.1</v>
      </c>
      <c r="M8" s="10">
        <v>57.36</v>
      </c>
      <c r="N8" s="10">
        <v>86.319869999999995</v>
      </c>
      <c r="O8" s="10">
        <v>84.674419999999998</v>
      </c>
      <c r="Q8" s="10">
        <v>828.27</v>
      </c>
      <c r="R8" s="10">
        <v>946.8</v>
      </c>
      <c r="S8" s="10">
        <v>940.07</v>
      </c>
    </row>
    <row r="9" spans="1:19" x14ac:dyDescent="0.2">
      <c r="A9" s="9" t="s">
        <v>20</v>
      </c>
      <c r="B9" s="9" t="s">
        <v>21</v>
      </c>
      <c r="C9" s="9">
        <v>20</v>
      </c>
      <c r="D9" s="9">
        <v>0</v>
      </c>
      <c r="E9" s="9">
        <v>55</v>
      </c>
      <c r="F9" s="9">
        <f t="shared" si="0"/>
        <v>75</v>
      </c>
      <c r="H9" s="10">
        <v>64.819999999999993</v>
      </c>
      <c r="I9" s="10">
        <v>0</v>
      </c>
      <c r="J9" s="10">
        <v>81.83</v>
      </c>
      <c r="K9" s="10">
        <v>77.38</v>
      </c>
      <c r="M9" s="10">
        <v>35.039580000000001</v>
      </c>
      <c r="N9" s="10">
        <v>55.643140000000002</v>
      </c>
      <c r="O9" s="10">
        <v>50.492249999999999</v>
      </c>
      <c r="Q9" s="10">
        <v>543.08000000000004</v>
      </c>
      <c r="R9" s="10">
        <v>661.51</v>
      </c>
      <c r="S9" s="10">
        <v>631.9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14</v>
      </c>
      <c r="F10" s="9">
        <f t="shared" si="0"/>
        <v>15</v>
      </c>
      <c r="H10" s="10">
        <v>0</v>
      </c>
      <c r="I10" s="10">
        <v>0</v>
      </c>
      <c r="J10" s="10">
        <v>88.77</v>
      </c>
      <c r="K10" s="10">
        <v>88.77</v>
      </c>
      <c r="M10" s="10">
        <v>0</v>
      </c>
      <c r="N10" s="10">
        <v>93.25385</v>
      </c>
      <c r="O10" s="10">
        <v>93.25385</v>
      </c>
      <c r="Q10" s="10">
        <v>0</v>
      </c>
      <c r="R10" s="10">
        <v>1052.8800000000001</v>
      </c>
      <c r="S10" s="10">
        <v>1052.8800000000001</v>
      </c>
    </row>
    <row r="11" spans="1:19" x14ac:dyDescent="0.2">
      <c r="A11" s="9" t="s">
        <v>24</v>
      </c>
      <c r="B11" s="9" t="s">
        <v>25</v>
      </c>
      <c r="C11" s="9">
        <v>10</v>
      </c>
      <c r="D11" s="9">
        <v>0</v>
      </c>
      <c r="E11" s="9">
        <v>63</v>
      </c>
      <c r="F11" s="9">
        <f t="shared" si="0"/>
        <v>73</v>
      </c>
      <c r="H11" s="10">
        <v>140.6</v>
      </c>
      <c r="I11" s="10">
        <v>0</v>
      </c>
      <c r="J11" s="10">
        <v>184.46</v>
      </c>
      <c r="K11" s="10">
        <v>177.91</v>
      </c>
      <c r="M11" s="10">
        <v>408.26779999999997</v>
      </c>
      <c r="N11" s="10">
        <v>456.80928999999998</v>
      </c>
      <c r="O11" s="10">
        <v>449.56428999999997</v>
      </c>
      <c r="Q11" s="10">
        <v>3171.74</v>
      </c>
      <c r="R11" s="10">
        <v>3035.83</v>
      </c>
      <c r="S11" s="10">
        <v>3056.12</v>
      </c>
    </row>
    <row r="12" spans="1:19" x14ac:dyDescent="0.2">
      <c r="A12" s="9" t="s">
        <v>26</v>
      </c>
      <c r="B12" s="9" t="s">
        <v>27</v>
      </c>
      <c r="C12" s="9">
        <v>12</v>
      </c>
      <c r="D12" s="9">
        <v>1</v>
      </c>
      <c r="E12" s="9">
        <v>30</v>
      </c>
      <c r="F12" s="9">
        <f t="shared" si="0"/>
        <v>43</v>
      </c>
      <c r="H12" s="10">
        <v>191.88</v>
      </c>
      <c r="I12" s="10">
        <v>90</v>
      </c>
      <c r="J12" s="10">
        <v>77.13</v>
      </c>
      <c r="K12" s="10">
        <v>106.22</v>
      </c>
      <c r="M12" s="10">
        <v>100</v>
      </c>
      <c r="N12" s="10">
        <v>52.301650000000002</v>
      </c>
      <c r="O12" s="10">
        <v>67.565119999999993</v>
      </c>
      <c r="Q12" s="10">
        <v>821.41</v>
      </c>
      <c r="R12" s="10">
        <v>710.69</v>
      </c>
      <c r="S12" s="10">
        <v>746.12</v>
      </c>
    </row>
    <row r="13" spans="1:19" x14ac:dyDescent="0.2">
      <c r="A13" s="9" t="s">
        <v>28</v>
      </c>
      <c r="B13" s="9" t="s">
        <v>29</v>
      </c>
      <c r="C13" s="9">
        <v>7</v>
      </c>
      <c r="D13" s="9">
        <v>0</v>
      </c>
      <c r="E13" s="9">
        <v>31</v>
      </c>
      <c r="F13" s="9">
        <f t="shared" si="0"/>
        <v>38</v>
      </c>
      <c r="H13" s="10">
        <v>226.67</v>
      </c>
      <c r="I13" s="10">
        <v>0</v>
      </c>
      <c r="J13" s="10">
        <v>165.4</v>
      </c>
      <c r="K13" s="10">
        <v>177.26</v>
      </c>
      <c r="M13" s="10">
        <v>174.38117000000003</v>
      </c>
      <c r="N13" s="10">
        <v>172.27082999999999</v>
      </c>
      <c r="O13" s="10">
        <v>172.69289999999998</v>
      </c>
      <c r="Q13" s="10">
        <v>821.6</v>
      </c>
      <c r="R13" s="10">
        <v>1156.3699999999999</v>
      </c>
      <c r="S13" s="10">
        <v>1089.42</v>
      </c>
    </row>
    <row r="14" spans="1:19" x14ac:dyDescent="0.2">
      <c r="A14" s="9" t="s">
        <v>30</v>
      </c>
      <c r="B14" s="9" t="s">
        <v>31</v>
      </c>
      <c r="C14" s="9">
        <v>41</v>
      </c>
      <c r="D14" s="9">
        <v>1</v>
      </c>
      <c r="E14" s="9">
        <v>76</v>
      </c>
      <c r="F14" s="9">
        <f t="shared" si="0"/>
        <v>118</v>
      </c>
      <c r="H14" s="10">
        <v>129.58000000000001</v>
      </c>
      <c r="I14" s="10">
        <v>73</v>
      </c>
      <c r="J14" s="10">
        <v>112.28</v>
      </c>
      <c r="K14" s="10">
        <v>117.78</v>
      </c>
      <c r="M14" s="10">
        <v>179.13010999999997</v>
      </c>
      <c r="N14" s="10">
        <v>189.62423999999999</v>
      </c>
      <c r="O14" s="10">
        <v>185.92042999999998</v>
      </c>
      <c r="Q14" s="10">
        <v>1453.42</v>
      </c>
      <c r="R14" s="10">
        <v>1898.41</v>
      </c>
      <c r="S14" s="10">
        <v>1741.35</v>
      </c>
    </row>
    <row r="15" spans="1:19" x14ac:dyDescent="0.2">
      <c r="A15" s="9" t="s">
        <v>32</v>
      </c>
      <c r="B15" s="9" t="s">
        <v>33</v>
      </c>
      <c r="C15" s="9">
        <v>2</v>
      </c>
      <c r="D15" s="9">
        <v>0</v>
      </c>
      <c r="E15" s="9">
        <v>117</v>
      </c>
      <c r="F15" s="9">
        <f t="shared" si="0"/>
        <v>119</v>
      </c>
      <c r="H15" s="10">
        <v>120.5</v>
      </c>
      <c r="I15" s="10">
        <v>0</v>
      </c>
      <c r="J15" s="10">
        <v>95.78</v>
      </c>
      <c r="K15" s="10">
        <v>96.24</v>
      </c>
      <c r="M15" s="10">
        <v>0</v>
      </c>
      <c r="N15" s="10">
        <v>157.92117999999999</v>
      </c>
      <c r="O15" s="10">
        <v>159.13783999999998</v>
      </c>
      <c r="Q15" s="10">
        <v>0</v>
      </c>
      <c r="R15" s="10">
        <v>1732.92</v>
      </c>
      <c r="S15" s="10">
        <v>1733.96</v>
      </c>
    </row>
    <row r="16" spans="1:19" x14ac:dyDescent="0.2">
      <c r="A16" s="9" t="s">
        <v>34</v>
      </c>
      <c r="B16" s="9" t="s">
        <v>35</v>
      </c>
      <c r="C16" s="9">
        <v>14</v>
      </c>
      <c r="D16" s="9">
        <v>0</v>
      </c>
      <c r="E16" s="9">
        <v>53</v>
      </c>
      <c r="F16" s="9">
        <f t="shared" si="0"/>
        <v>67</v>
      </c>
      <c r="H16" s="10">
        <v>200.27</v>
      </c>
      <c r="I16" s="10">
        <v>0</v>
      </c>
      <c r="J16" s="10">
        <v>220.38</v>
      </c>
      <c r="K16" s="10">
        <v>216.87</v>
      </c>
      <c r="M16" s="10">
        <v>261.82727</v>
      </c>
      <c r="N16" s="10">
        <v>281.00857999999999</v>
      </c>
      <c r="O16" s="10">
        <v>277.60543999999999</v>
      </c>
      <c r="Q16" s="10">
        <v>1462.88</v>
      </c>
      <c r="R16" s="10">
        <v>1331.6</v>
      </c>
      <c r="S16" s="10">
        <v>1354.89</v>
      </c>
    </row>
    <row r="17" spans="1:19" x14ac:dyDescent="0.2">
      <c r="A17" s="9" t="s">
        <v>36</v>
      </c>
      <c r="B17" s="9" t="s">
        <v>37</v>
      </c>
      <c r="C17" s="9">
        <v>5</v>
      </c>
      <c r="D17" s="9">
        <v>1</v>
      </c>
      <c r="E17" s="9">
        <v>196</v>
      </c>
      <c r="F17" s="9">
        <f t="shared" si="0"/>
        <v>202</v>
      </c>
      <c r="H17" s="10">
        <v>84.25</v>
      </c>
      <c r="I17" s="10">
        <v>84</v>
      </c>
      <c r="J17" s="10">
        <v>90.73</v>
      </c>
      <c r="K17" s="10">
        <v>90.51</v>
      </c>
      <c r="M17" s="10">
        <v>45</v>
      </c>
      <c r="N17" s="10">
        <v>56.37424</v>
      </c>
      <c r="O17" s="10">
        <v>56.034709999999997</v>
      </c>
      <c r="Q17" s="10">
        <v>635.38</v>
      </c>
      <c r="R17" s="10">
        <v>628.11</v>
      </c>
      <c r="S17" s="10">
        <v>628.33000000000004</v>
      </c>
    </row>
    <row r="18" spans="1:19" x14ac:dyDescent="0.2">
      <c r="A18" s="9" t="s">
        <v>38</v>
      </c>
      <c r="B18" s="9" t="s">
        <v>39</v>
      </c>
      <c r="C18" s="9">
        <v>7</v>
      </c>
      <c r="D18" s="9">
        <v>0</v>
      </c>
      <c r="E18" s="9">
        <v>26</v>
      </c>
      <c r="F18" s="9">
        <f t="shared" si="0"/>
        <v>33</v>
      </c>
      <c r="H18" s="10">
        <v>97.5</v>
      </c>
      <c r="I18" s="10">
        <v>0</v>
      </c>
      <c r="J18" s="10">
        <v>117.76</v>
      </c>
      <c r="K18" s="10">
        <v>113.84</v>
      </c>
      <c r="M18" s="10">
        <v>76.495000000000005</v>
      </c>
      <c r="N18" s="10">
        <v>94.805600000000013</v>
      </c>
      <c r="O18" s="10">
        <v>91.143479999999997</v>
      </c>
      <c r="Q18" s="10">
        <v>810.8</v>
      </c>
      <c r="R18" s="10">
        <v>833.68</v>
      </c>
      <c r="S18" s="10">
        <v>829.1</v>
      </c>
    </row>
    <row r="19" spans="1:19" x14ac:dyDescent="0.2">
      <c r="A19" s="9" t="s">
        <v>40</v>
      </c>
      <c r="B19" s="9" t="s">
        <v>41</v>
      </c>
      <c r="C19" s="9">
        <v>4</v>
      </c>
      <c r="D19" s="9">
        <v>3</v>
      </c>
      <c r="E19" s="9">
        <v>23</v>
      </c>
      <c r="F19" s="9">
        <f t="shared" si="0"/>
        <v>30</v>
      </c>
      <c r="H19" s="10">
        <v>118.67</v>
      </c>
      <c r="I19" s="10">
        <v>82.67</v>
      </c>
      <c r="J19" s="10">
        <v>86.38</v>
      </c>
      <c r="K19" s="10">
        <v>89.56</v>
      </c>
      <c r="M19" s="10">
        <v>110.31533</v>
      </c>
      <c r="N19" s="10">
        <v>60.923079999999999</v>
      </c>
      <c r="O19" s="10">
        <v>70.18413000000001</v>
      </c>
      <c r="Q19" s="10">
        <v>907.15</v>
      </c>
      <c r="R19" s="10">
        <v>734.17</v>
      </c>
      <c r="S19" s="10">
        <v>766.6</v>
      </c>
    </row>
    <row r="20" spans="1:19" x14ac:dyDescent="0.2">
      <c r="A20" s="9" t="s">
        <v>42</v>
      </c>
      <c r="B20" s="9" t="s">
        <v>43</v>
      </c>
      <c r="C20" s="9">
        <v>0</v>
      </c>
      <c r="D20" s="9">
        <v>0</v>
      </c>
      <c r="E20" s="9">
        <v>32</v>
      </c>
      <c r="F20" s="9">
        <f t="shared" si="0"/>
        <v>32</v>
      </c>
      <c r="H20" s="10">
        <v>0</v>
      </c>
      <c r="I20" s="10">
        <v>0</v>
      </c>
      <c r="J20" s="10">
        <v>117</v>
      </c>
      <c r="K20" s="10">
        <v>117</v>
      </c>
      <c r="M20" s="10">
        <v>0</v>
      </c>
      <c r="N20" s="10">
        <v>115.51488999999999</v>
      </c>
      <c r="O20" s="10">
        <v>115.51488999999999</v>
      </c>
      <c r="Q20" s="10">
        <v>0</v>
      </c>
      <c r="R20" s="10">
        <v>960</v>
      </c>
      <c r="S20" s="10">
        <v>960</v>
      </c>
    </row>
    <row r="21" spans="1:19" x14ac:dyDescent="0.2">
      <c r="A21" s="9" t="s">
        <v>44</v>
      </c>
      <c r="B21" s="9" t="s">
        <v>45</v>
      </c>
      <c r="C21" s="9">
        <v>55</v>
      </c>
      <c r="D21" s="9">
        <v>2</v>
      </c>
      <c r="E21" s="9">
        <v>107</v>
      </c>
      <c r="F21" s="9">
        <f t="shared" si="0"/>
        <v>164</v>
      </c>
      <c r="H21" s="10">
        <v>100.65</v>
      </c>
      <c r="I21" s="10">
        <v>69</v>
      </c>
      <c r="J21" s="10">
        <v>105.11</v>
      </c>
      <c r="K21" s="10">
        <v>103.14</v>
      </c>
      <c r="M21" s="10">
        <v>193.89251000000002</v>
      </c>
      <c r="N21" s="10">
        <v>227.21845000000002</v>
      </c>
      <c r="O21" s="10">
        <v>215.60811999999999</v>
      </c>
      <c r="Q21" s="10">
        <v>1913.97</v>
      </c>
      <c r="R21" s="10">
        <v>2226.87</v>
      </c>
      <c r="S21" s="10">
        <v>2117.86</v>
      </c>
    </row>
    <row r="22" spans="1:19" x14ac:dyDescent="0.2">
      <c r="A22" s="9" t="s">
        <v>46</v>
      </c>
      <c r="B22" s="9" t="s">
        <v>47</v>
      </c>
      <c r="C22" s="9">
        <v>33</v>
      </c>
      <c r="D22" s="9">
        <v>1</v>
      </c>
      <c r="E22" s="9">
        <v>69</v>
      </c>
      <c r="F22" s="9">
        <f t="shared" si="0"/>
        <v>103</v>
      </c>
      <c r="H22" s="10">
        <v>77.040000000000006</v>
      </c>
      <c r="I22" s="10">
        <v>73</v>
      </c>
      <c r="J22" s="10">
        <v>114.54</v>
      </c>
      <c r="K22" s="10">
        <v>103.84</v>
      </c>
      <c r="M22" s="10">
        <v>129.32177000000001</v>
      </c>
      <c r="N22" s="10">
        <v>218.74957999999998</v>
      </c>
      <c r="O22" s="10">
        <v>193.47649999999999</v>
      </c>
      <c r="Q22" s="10">
        <v>1712.56</v>
      </c>
      <c r="R22" s="10">
        <v>2037.97</v>
      </c>
      <c r="S22" s="10">
        <v>1946.01</v>
      </c>
    </row>
    <row r="23" spans="1:19" x14ac:dyDescent="0.2">
      <c r="A23" s="9" t="s">
        <v>48</v>
      </c>
      <c r="B23" s="9" t="s">
        <v>49</v>
      </c>
      <c r="C23" s="9">
        <v>27</v>
      </c>
      <c r="D23" s="9">
        <v>0</v>
      </c>
      <c r="E23" s="9">
        <v>62</v>
      </c>
      <c r="F23" s="9">
        <f t="shared" si="0"/>
        <v>89</v>
      </c>
      <c r="H23" s="10">
        <v>130.82</v>
      </c>
      <c r="I23" s="10">
        <v>0</v>
      </c>
      <c r="J23" s="10">
        <v>137.27000000000001</v>
      </c>
      <c r="K23" s="10">
        <v>135.15</v>
      </c>
      <c r="M23" s="10">
        <v>211.14532</v>
      </c>
      <c r="N23" s="10">
        <v>230.92414000000002</v>
      </c>
      <c r="O23" s="10">
        <v>224.42959999999999</v>
      </c>
      <c r="Q23" s="10">
        <v>1760.93</v>
      </c>
      <c r="R23" s="10">
        <v>1951.47</v>
      </c>
      <c r="S23" s="10">
        <v>1888.9</v>
      </c>
    </row>
    <row r="24" spans="1:19" x14ac:dyDescent="0.2">
      <c r="A24" s="9" t="s">
        <v>50</v>
      </c>
      <c r="B24" s="9" t="s">
        <v>51</v>
      </c>
      <c r="C24" s="9">
        <v>14</v>
      </c>
      <c r="D24" s="9">
        <v>0</v>
      </c>
      <c r="E24" s="9">
        <v>29</v>
      </c>
      <c r="F24" s="9">
        <f t="shared" si="0"/>
        <v>43</v>
      </c>
      <c r="H24" s="10">
        <v>135.91</v>
      </c>
      <c r="I24" s="10">
        <v>0</v>
      </c>
      <c r="J24" s="10">
        <v>126.32</v>
      </c>
      <c r="K24" s="10">
        <v>129.02000000000001</v>
      </c>
      <c r="M24" s="10">
        <v>102.26364</v>
      </c>
      <c r="N24" s="10">
        <v>130.91999000000001</v>
      </c>
      <c r="O24" s="10">
        <v>122.83743</v>
      </c>
      <c r="Q24" s="10">
        <v>1043.31</v>
      </c>
      <c r="R24" s="10">
        <v>1117.22</v>
      </c>
      <c r="S24" s="10">
        <v>1096.3699999999999</v>
      </c>
    </row>
    <row r="25" spans="1:19" x14ac:dyDescent="0.2">
      <c r="A25" s="9" t="s">
        <v>52</v>
      </c>
      <c r="B25" s="9" t="s">
        <v>53</v>
      </c>
      <c r="C25" s="9">
        <v>497</v>
      </c>
      <c r="D25" s="9">
        <v>39</v>
      </c>
      <c r="E25" s="9">
        <v>1225</v>
      </c>
      <c r="F25" s="9">
        <f t="shared" si="0"/>
        <v>1761</v>
      </c>
      <c r="H25" s="10">
        <v>76.55</v>
      </c>
      <c r="I25" s="10">
        <v>65.92</v>
      </c>
      <c r="J25" s="10">
        <v>73.36</v>
      </c>
      <c r="K25" s="10">
        <v>74.08</v>
      </c>
      <c r="M25" s="10">
        <v>201.91365999999999</v>
      </c>
      <c r="N25" s="10">
        <v>170.88782999999998</v>
      </c>
      <c r="O25" s="10">
        <v>179.96913000000001</v>
      </c>
      <c r="Q25" s="10">
        <v>2595.3200000000002</v>
      </c>
      <c r="R25" s="10">
        <v>2269.41</v>
      </c>
      <c r="S25" s="10">
        <v>2364.8000000000002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6</v>
      </c>
      <c r="E26" s="9">
        <v>48</v>
      </c>
      <c r="F26" s="9">
        <f t="shared" si="0"/>
        <v>54</v>
      </c>
      <c r="H26" s="10">
        <v>0</v>
      </c>
      <c r="I26" s="10">
        <v>84.83</v>
      </c>
      <c r="J26" s="10">
        <v>81.83</v>
      </c>
      <c r="K26" s="10">
        <v>82.21</v>
      </c>
      <c r="M26" s="10">
        <v>0</v>
      </c>
      <c r="N26" s="10">
        <v>125.85039999999999</v>
      </c>
      <c r="O26" s="10">
        <v>125.85039999999999</v>
      </c>
      <c r="Q26" s="10">
        <v>0</v>
      </c>
      <c r="R26" s="10">
        <v>1471.72</v>
      </c>
      <c r="S26" s="10">
        <v>1471.72</v>
      </c>
    </row>
    <row r="27" spans="1:19" x14ac:dyDescent="0.2">
      <c r="A27" s="9" t="s">
        <v>56</v>
      </c>
      <c r="B27" s="9" t="s">
        <v>57</v>
      </c>
      <c r="C27" s="9">
        <v>1</v>
      </c>
      <c r="D27" s="9">
        <v>0</v>
      </c>
      <c r="E27" s="9">
        <v>62</v>
      </c>
      <c r="F27" s="9">
        <f t="shared" si="0"/>
        <v>63</v>
      </c>
      <c r="H27" s="10">
        <v>118</v>
      </c>
      <c r="I27" s="10">
        <v>0</v>
      </c>
      <c r="J27" s="10">
        <v>81.44</v>
      </c>
      <c r="K27" s="10">
        <v>82.1</v>
      </c>
      <c r="M27" s="10">
        <v>0</v>
      </c>
      <c r="N27" s="10">
        <v>55.541699999999999</v>
      </c>
      <c r="O27" s="10">
        <v>55.8703</v>
      </c>
      <c r="Q27" s="10">
        <v>0</v>
      </c>
      <c r="R27" s="10">
        <v>708.66</v>
      </c>
      <c r="S27" s="10">
        <v>706.04</v>
      </c>
    </row>
    <row r="28" spans="1:19" x14ac:dyDescent="0.2">
      <c r="A28" s="9" t="s">
        <v>58</v>
      </c>
      <c r="B28" s="9" t="s">
        <v>59</v>
      </c>
      <c r="C28" s="9">
        <v>37</v>
      </c>
      <c r="D28" s="9">
        <v>8</v>
      </c>
      <c r="E28" s="9">
        <v>85</v>
      </c>
      <c r="F28" s="9">
        <f t="shared" si="0"/>
        <v>130</v>
      </c>
      <c r="H28" s="10">
        <v>129.6</v>
      </c>
      <c r="I28" s="10">
        <v>80.5</v>
      </c>
      <c r="J28" s="10">
        <v>105.43</v>
      </c>
      <c r="K28" s="10">
        <v>111.49</v>
      </c>
      <c r="M28" s="10">
        <v>166.74918</v>
      </c>
      <c r="N28" s="10">
        <v>147.81608</v>
      </c>
      <c r="O28" s="10">
        <v>154.37706</v>
      </c>
      <c r="Q28" s="10">
        <v>1398.17</v>
      </c>
      <c r="R28" s="10">
        <v>1473.41</v>
      </c>
      <c r="S28" s="10">
        <v>1447.34</v>
      </c>
    </row>
    <row r="29" spans="1:19" x14ac:dyDescent="0.2">
      <c r="A29" s="9" t="s">
        <v>60</v>
      </c>
      <c r="B29" s="9" t="s">
        <v>61</v>
      </c>
      <c r="C29" s="9">
        <v>45</v>
      </c>
      <c r="D29" s="9">
        <v>0</v>
      </c>
      <c r="E29" s="9">
        <v>261</v>
      </c>
      <c r="F29" s="9">
        <f t="shared" si="0"/>
        <v>306</v>
      </c>
      <c r="H29" s="10">
        <v>102.43</v>
      </c>
      <c r="I29" s="10">
        <v>0</v>
      </c>
      <c r="J29" s="10">
        <v>89.1</v>
      </c>
      <c r="K29" s="10">
        <v>91.05</v>
      </c>
      <c r="M29" s="10">
        <v>222.61912000000001</v>
      </c>
      <c r="N29" s="10">
        <v>171.09189999999998</v>
      </c>
      <c r="O29" s="10">
        <v>179.74847</v>
      </c>
      <c r="Q29" s="10">
        <v>2250.6799999999998</v>
      </c>
      <c r="R29" s="10">
        <v>1995.14</v>
      </c>
      <c r="S29" s="10">
        <v>2038.07</v>
      </c>
    </row>
    <row r="30" spans="1:19" x14ac:dyDescent="0.2">
      <c r="A30" s="9" t="s">
        <v>62</v>
      </c>
      <c r="B30" s="9" t="s">
        <v>63</v>
      </c>
      <c r="C30" s="9">
        <v>882</v>
      </c>
      <c r="D30" s="9">
        <v>31</v>
      </c>
      <c r="E30" s="9">
        <v>9500</v>
      </c>
      <c r="F30" s="9">
        <f t="shared" si="0"/>
        <v>10413</v>
      </c>
      <c r="H30" s="10">
        <v>89.78</v>
      </c>
      <c r="I30" s="10">
        <v>76.39</v>
      </c>
      <c r="J30" s="10">
        <v>77.91</v>
      </c>
      <c r="K30" s="10">
        <v>78.92</v>
      </c>
      <c r="M30" s="10">
        <v>438.39666999999997</v>
      </c>
      <c r="N30" s="10">
        <v>348.41496999999998</v>
      </c>
      <c r="O30" s="10">
        <v>358.94286999999997</v>
      </c>
      <c r="Q30" s="10">
        <v>4614.54</v>
      </c>
      <c r="R30" s="10">
        <v>4080.77</v>
      </c>
      <c r="S30" s="10">
        <v>4143.22</v>
      </c>
    </row>
    <row r="31" spans="1:19" x14ac:dyDescent="0.2">
      <c r="A31" s="9" t="s">
        <v>64</v>
      </c>
      <c r="B31" s="9" t="s">
        <v>65</v>
      </c>
      <c r="C31" s="9">
        <v>3</v>
      </c>
      <c r="D31" s="9">
        <v>0</v>
      </c>
      <c r="E31" s="9">
        <v>50</v>
      </c>
      <c r="F31" s="9">
        <f t="shared" si="0"/>
        <v>53</v>
      </c>
      <c r="H31" s="10">
        <v>280</v>
      </c>
      <c r="I31" s="10">
        <v>0</v>
      </c>
      <c r="J31" s="10">
        <v>170.8</v>
      </c>
      <c r="K31" s="10">
        <v>175.45</v>
      </c>
      <c r="M31" s="10">
        <v>374.5</v>
      </c>
      <c r="N31" s="10">
        <v>328.78591999999998</v>
      </c>
      <c r="O31" s="10">
        <v>330.7312</v>
      </c>
      <c r="Q31" s="10">
        <v>1337.5</v>
      </c>
      <c r="R31" s="10">
        <v>2098.17</v>
      </c>
      <c r="S31" s="10">
        <v>2065.8000000000002</v>
      </c>
    </row>
    <row r="32" spans="1:19" x14ac:dyDescent="0.2">
      <c r="A32" s="9" t="s">
        <v>435</v>
      </c>
      <c r="B32" s="9" t="s">
        <v>436</v>
      </c>
      <c r="C32" s="9">
        <v>3</v>
      </c>
      <c r="D32" s="9">
        <v>0</v>
      </c>
      <c r="E32" s="9">
        <v>25</v>
      </c>
      <c r="F32" s="9">
        <f t="shared" si="0"/>
        <v>28</v>
      </c>
      <c r="H32" s="10">
        <v>90</v>
      </c>
      <c r="I32" s="10">
        <v>0</v>
      </c>
      <c r="J32" s="10">
        <v>131.84</v>
      </c>
      <c r="K32" s="10">
        <v>129.75</v>
      </c>
      <c r="M32" s="10">
        <v>55</v>
      </c>
      <c r="N32" s="10">
        <v>80.036640000000006</v>
      </c>
      <c r="O32" s="10">
        <v>78.718919999999997</v>
      </c>
      <c r="Q32" s="10">
        <v>611.11</v>
      </c>
      <c r="R32" s="10">
        <v>687.12</v>
      </c>
      <c r="S32" s="10">
        <v>683.12</v>
      </c>
    </row>
    <row r="33" spans="1:19" x14ac:dyDescent="0.2">
      <c r="A33" s="9" t="s">
        <v>66</v>
      </c>
      <c r="B33" s="9" t="s">
        <v>67</v>
      </c>
      <c r="C33" s="9">
        <v>6</v>
      </c>
      <c r="D33" s="9">
        <v>0</v>
      </c>
      <c r="E33" s="9">
        <v>78</v>
      </c>
      <c r="F33" s="9">
        <f t="shared" si="0"/>
        <v>84</v>
      </c>
      <c r="H33" s="10">
        <v>83.75</v>
      </c>
      <c r="I33" s="10">
        <v>0</v>
      </c>
      <c r="J33" s="10">
        <v>85.6</v>
      </c>
      <c r="K33" s="10">
        <v>85.5</v>
      </c>
      <c r="M33" s="10">
        <v>134.25</v>
      </c>
      <c r="N33" s="10">
        <v>82.183000000000007</v>
      </c>
      <c r="O33" s="10">
        <v>84.959910000000008</v>
      </c>
      <c r="Q33" s="10">
        <v>1532.04</v>
      </c>
      <c r="R33" s="10">
        <v>986.62</v>
      </c>
      <c r="S33" s="10">
        <v>1015.71</v>
      </c>
    </row>
    <row r="34" spans="1:19" x14ac:dyDescent="0.2">
      <c r="A34" s="9" t="s">
        <v>68</v>
      </c>
      <c r="B34" s="9" t="s">
        <v>69</v>
      </c>
      <c r="C34" s="9">
        <v>21</v>
      </c>
      <c r="D34" s="9">
        <v>0</v>
      </c>
      <c r="E34" s="9">
        <v>86</v>
      </c>
      <c r="F34" s="9">
        <f t="shared" si="0"/>
        <v>107</v>
      </c>
      <c r="H34" s="10">
        <v>115.69</v>
      </c>
      <c r="I34" s="10">
        <v>0</v>
      </c>
      <c r="J34" s="10">
        <v>173.86</v>
      </c>
      <c r="K34" s="10">
        <v>164.46</v>
      </c>
      <c r="M34" s="10">
        <v>172.03136999999998</v>
      </c>
      <c r="N34" s="10">
        <v>202.33067000000003</v>
      </c>
      <c r="O34" s="10">
        <v>197.43380999999999</v>
      </c>
      <c r="Q34" s="10">
        <v>1605.71</v>
      </c>
      <c r="R34" s="10">
        <v>1294.48</v>
      </c>
      <c r="S34" s="10">
        <v>1344.78</v>
      </c>
    </row>
    <row r="35" spans="1:19" x14ac:dyDescent="0.2">
      <c r="A35" s="9" t="s">
        <v>70</v>
      </c>
      <c r="B35" s="9" t="s">
        <v>71</v>
      </c>
      <c r="C35" s="9">
        <v>19</v>
      </c>
      <c r="D35" s="9">
        <v>1</v>
      </c>
      <c r="E35" s="9">
        <v>61</v>
      </c>
      <c r="F35" s="9">
        <f t="shared" si="0"/>
        <v>81</v>
      </c>
      <c r="H35" s="10">
        <v>111.89</v>
      </c>
      <c r="I35" s="10">
        <v>0</v>
      </c>
      <c r="J35" s="10">
        <v>113.65</v>
      </c>
      <c r="K35" s="10">
        <v>113.23</v>
      </c>
      <c r="M35" s="10">
        <v>107.81053</v>
      </c>
      <c r="N35" s="10">
        <v>99.404020000000003</v>
      </c>
      <c r="O35" s="10">
        <v>101.50564999999999</v>
      </c>
      <c r="Q35" s="10">
        <v>1115</v>
      </c>
      <c r="R35" s="10">
        <v>964.89</v>
      </c>
      <c r="S35" s="10">
        <v>1002.42</v>
      </c>
    </row>
    <row r="36" spans="1:19" x14ac:dyDescent="0.2">
      <c r="A36" s="9" t="s">
        <v>72</v>
      </c>
      <c r="B36" s="9" t="s">
        <v>73</v>
      </c>
      <c r="C36" s="9">
        <v>18</v>
      </c>
      <c r="D36" s="9">
        <v>0</v>
      </c>
      <c r="E36" s="9">
        <v>377</v>
      </c>
      <c r="F36" s="9">
        <f t="shared" si="0"/>
        <v>395</v>
      </c>
      <c r="H36" s="10">
        <v>120.5</v>
      </c>
      <c r="I36" s="10">
        <v>0</v>
      </c>
      <c r="J36" s="10">
        <v>77.400000000000006</v>
      </c>
      <c r="K36" s="10">
        <v>78.66</v>
      </c>
      <c r="M36" s="10">
        <v>246.92954</v>
      </c>
      <c r="N36" s="10">
        <v>137.29021</v>
      </c>
      <c r="O36" s="10">
        <v>140.51489999999998</v>
      </c>
      <c r="Q36" s="10">
        <v>2092.64</v>
      </c>
      <c r="R36" s="10">
        <v>1887.81</v>
      </c>
      <c r="S36" s="10">
        <v>1893.83</v>
      </c>
    </row>
    <row r="37" spans="1:19" x14ac:dyDescent="0.2">
      <c r="A37" s="9" t="s">
        <v>74</v>
      </c>
      <c r="B37" s="9" t="s">
        <v>75</v>
      </c>
      <c r="C37" s="9">
        <v>5</v>
      </c>
      <c r="D37" s="9">
        <v>0</v>
      </c>
      <c r="E37" s="9">
        <v>20</v>
      </c>
      <c r="F37" s="9">
        <f t="shared" si="0"/>
        <v>25</v>
      </c>
      <c r="H37" s="10">
        <v>155</v>
      </c>
      <c r="I37" s="10">
        <v>0</v>
      </c>
      <c r="J37" s="10">
        <v>143.25</v>
      </c>
      <c r="K37" s="10">
        <v>146.71</v>
      </c>
      <c r="M37" s="10">
        <v>116.9</v>
      </c>
      <c r="N37" s="10">
        <v>103.27221</v>
      </c>
      <c r="O37" s="10">
        <v>108.13928</v>
      </c>
      <c r="Q37" s="10">
        <v>814.5</v>
      </c>
      <c r="R37" s="10">
        <v>592.91</v>
      </c>
      <c r="S37" s="10">
        <v>672.05</v>
      </c>
    </row>
    <row r="38" spans="1:19" x14ac:dyDescent="0.2">
      <c r="A38" s="9" t="s">
        <v>76</v>
      </c>
      <c r="B38" s="9" t="s">
        <v>77</v>
      </c>
      <c r="C38" s="9">
        <v>0</v>
      </c>
      <c r="D38" s="9">
        <v>0</v>
      </c>
      <c r="E38" s="9">
        <v>60</v>
      </c>
      <c r="F38" s="9">
        <f t="shared" si="0"/>
        <v>60</v>
      </c>
      <c r="H38" s="10">
        <v>0</v>
      </c>
      <c r="I38" s="10">
        <v>0</v>
      </c>
      <c r="J38" s="10">
        <v>210.44</v>
      </c>
      <c r="K38" s="10">
        <v>210.44</v>
      </c>
      <c r="M38" s="10">
        <v>0</v>
      </c>
      <c r="N38" s="10">
        <v>399.14618999999999</v>
      </c>
      <c r="O38" s="10">
        <v>399.14618999999999</v>
      </c>
      <c r="Q38" s="10">
        <v>0</v>
      </c>
      <c r="R38" s="10">
        <v>2154.19</v>
      </c>
      <c r="S38" s="10">
        <v>2154.19</v>
      </c>
    </row>
    <row r="39" spans="1:19" x14ac:dyDescent="0.2">
      <c r="A39" s="9" t="s">
        <v>78</v>
      </c>
      <c r="B39" s="9" t="s">
        <v>79</v>
      </c>
      <c r="C39" s="9">
        <v>128</v>
      </c>
      <c r="D39" s="9">
        <v>4</v>
      </c>
      <c r="E39" s="9">
        <v>255</v>
      </c>
      <c r="F39" s="9">
        <f t="shared" si="0"/>
        <v>387</v>
      </c>
      <c r="H39" s="10">
        <v>87.34</v>
      </c>
      <c r="I39" s="10">
        <v>57.5</v>
      </c>
      <c r="J39" s="10">
        <v>79.19</v>
      </c>
      <c r="K39" s="10">
        <v>81.599999999999994</v>
      </c>
      <c r="M39" s="10">
        <v>135.00361999999998</v>
      </c>
      <c r="N39" s="10">
        <v>120.02242</v>
      </c>
      <c r="O39" s="10">
        <v>124.90200999999999</v>
      </c>
      <c r="Q39" s="10">
        <v>1618.27</v>
      </c>
      <c r="R39" s="10">
        <v>1633.07</v>
      </c>
      <c r="S39" s="10">
        <v>1628.25</v>
      </c>
    </row>
    <row r="40" spans="1:19" x14ac:dyDescent="0.2">
      <c r="A40" s="9" t="s">
        <v>80</v>
      </c>
      <c r="B40" s="9" t="s">
        <v>81</v>
      </c>
      <c r="C40" s="9">
        <v>16</v>
      </c>
      <c r="D40" s="9">
        <v>0</v>
      </c>
      <c r="E40" s="9">
        <v>57</v>
      </c>
      <c r="F40" s="9">
        <f t="shared" si="0"/>
        <v>73</v>
      </c>
      <c r="H40" s="10">
        <v>117.56</v>
      </c>
      <c r="I40" s="10">
        <v>0</v>
      </c>
      <c r="J40" s="10">
        <v>160.84</v>
      </c>
      <c r="K40" s="10">
        <v>150.5</v>
      </c>
      <c r="M40" s="10">
        <v>299.09694999999999</v>
      </c>
      <c r="N40" s="10">
        <v>329.31003999999996</v>
      </c>
      <c r="O40" s="10">
        <v>322.09496999999999</v>
      </c>
      <c r="Q40" s="10">
        <v>2169.94</v>
      </c>
      <c r="R40" s="10">
        <v>1883.05</v>
      </c>
      <c r="S40" s="10">
        <v>1951.56</v>
      </c>
    </row>
    <row r="41" spans="1:19" x14ac:dyDescent="0.2">
      <c r="A41" s="9" t="s">
        <v>82</v>
      </c>
      <c r="B41" s="9" t="s">
        <v>83</v>
      </c>
      <c r="C41" s="9">
        <v>32</v>
      </c>
      <c r="D41" s="9">
        <v>0</v>
      </c>
      <c r="E41" s="9">
        <v>101</v>
      </c>
      <c r="F41" s="9">
        <f t="shared" si="0"/>
        <v>133</v>
      </c>
      <c r="H41" s="10">
        <v>123.54</v>
      </c>
      <c r="I41" s="10">
        <v>0</v>
      </c>
      <c r="J41" s="10">
        <v>144.19</v>
      </c>
      <c r="K41" s="10">
        <v>139.53</v>
      </c>
      <c r="M41" s="10">
        <v>157.15960000000001</v>
      </c>
      <c r="N41" s="10">
        <v>212.80979000000002</v>
      </c>
      <c r="O41" s="10">
        <v>200.24361999999999</v>
      </c>
      <c r="Q41" s="10">
        <v>1610.43</v>
      </c>
      <c r="R41" s="10">
        <v>1659.98</v>
      </c>
      <c r="S41" s="10">
        <v>1648.79</v>
      </c>
    </row>
    <row r="42" spans="1:19" x14ac:dyDescent="0.2">
      <c r="A42" s="9" t="s">
        <v>84</v>
      </c>
      <c r="B42" s="9" t="s">
        <v>85</v>
      </c>
      <c r="C42" s="9">
        <v>51</v>
      </c>
      <c r="D42" s="9">
        <v>0</v>
      </c>
      <c r="E42" s="9">
        <v>157</v>
      </c>
      <c r="F42" s="9">
        <f t="shared" si="0"/>
        <v>208</v>
      </c>
      <c r="H42" s="10">
        <v>85.55</v>
      </c>
      <c r="I42" s="10">
        <v>0</v>
      </c>
      <c r="J42" s="10">
        <v>77.19</v>
      </c>
      <c r="K42" s="10">
        <v>79.25</v>
      </c>
      <c r="M42" s="10">
        <v>177.33912000000001</v>
      </c>
      <c r="N42" s="10">
        <v>150.28872000000001</v>
      </c>
      <c r="O42" s="10">
        <v>157.12404000000001</v>
      </c>
      <c r="Q42" s="10">
        <v>2174.94</v>
      </c>
      <c r="R42" s="10">
        <v>2014.89</v>
      </c>
      <c r="S42" s="10">
        <v>2055.33</v>
      </c>
    </row>
    <row r="43" spans="1:19" x14ac:dyDescent="0.2">
      <c r="A43" s="9" t="s">
        <v>86</v>
      </c>
      <c r="B43" s="9" t="s">
        <v>87</v>
      </c>
      <c r="C43" s="9">
        <v>64</v>
      </c>
      <c r="D43" s="9">
        <v>0</v>
      </c>
      <c r="E43" s="9">
        <v>205</v>
      </c>
      <c r="F43" s="9">
        <f t="shared" si="0"/>
        <v>269</v>
      </c>
      <c r="H43" s="10">
        <v>101.19</v>
      </c>
      <c r="I43" s="10">
        <v>0</v>
      </c>
      <c r="J43" s="10">
        <v>103.17</v>
      </c>
      <c r="K43" s="10">
        <v>102.71</v>
      </c>
      <c r="M43" s="10">
        <v>209.71715</v>
      </c>
      <c r="N43" s="10">
        <v>210.83770000000001</v>
      </c>
      <c r="O43" s="10">
        <v>210.57485</v>
      </c>
      <c r="Q43" s="10">
        <v>2367.73</v>
      </c>
      <c r="R43" s="10">
        <v>2110.96</v>
      </c>
      <c r="S43" s="10">
        <v>2171.19</v>
      </c>
    </row>
    <row r="44" spans="1:19" x14ac:dyDescent="0.2">
      <c r="A44" s="9" t="s">
        <v>88</v>
      </c>
      <c r="B44" s="9" t="s">
        <v>89</v>
      </c>
      <c r="C44" s="9">
        <v>11</v>
      </c>
      <c r="D44" s="9">
        <v>0</v>
      </c>
      <c r="E44" s="9">
        <v>510</v>
      </c>
      <c r="F44" s="9">
        <f t="shared" si="0"/>
        <v>521</v>
      </c>
      <c r="H44" s="10">
        <v>202</v>
      </c>
      <c r="I44" s="10">
        <v>0</v>
      </c>
      <c r="J44" s="10">
        <v>91.96</v>
      </c>
      <c r="K44" s="10">
        <v>93.89</v>
      </c>
      <c r="M44" s="10">
        <v>384.72793000000001</v>
      </c>
      <c r="N44" s="10">
        <v>160.86966000000001</v>
      </c>
      <c r="O44" s="10">
        <v>164.84935999999999</v>
      </c>
      <c r="Q44" s="10">
        <v>1894.09</v>
      </c>
      <c r="R44" s="10">
        <v>1893.44</v>
      </c>
      <c r="S44" s="10">
        <v>1893.45</v>
      </c>
    </row>
    <row r="45" spans="1:19" x14ac:dyDescent="0.2">
      <c r="A45" s="9" t="s">
        <v>90</v>
      </c>
      <c r="B45" s="9" t="s">
        <v>91</v>
      </c>
      <c r="C45" s="9">
        <v>42</v>
      </c>
      <c r="D45" s="9">
        <v>1</v>
      </c>
      <c r="E45" s="9">
        <v>93</v>
      </c>
      <c r="F45" s="9">
        <f t="shared" si="0"/>
        <v>136</v>
      </c>
      <c r="H45" s="10">
        <v>104.2</v>
      </c>
      <c r="I45" s="10">
        <v>90</v>
      </c>
      <c r="J45" s="10">
        <v>85.52</v>
      </c>
      <c r="K45" s="10">
        <v>91.36</v>
      </c>
      <c r="M45" s="10">
        <v>208.86229</v>
      </c>
      <c r="N45" s="10">
        <v>169.00627</v>
      </c>
      <c r="O45" s="10">
        <v>181.57624999999999</v>
      </c>
      <c r="Q45" s="10">
        <v>2086.1799999999998</v>
      </c>
      <c r="R45" s="10">
        <v>1957.54</v>
      </c>
      <c r="S45" s="10">
        <v>1998.11</v>
      </c>
    </row>
    <row r="46" spans="1:19" x14ac:dyDescent="0.2">
      <c r="A46" s="9" t="s">
        <v>92</v>
      </c>
      <c r="B46" s="9" t="s">
        <v>93</v>
      </c>
      <c r="C46" s="9">
        <v>0</v>
      </c>
      <c r="D46" s="9">
        <v>0</v>
      </c>
      <c r="E46" s="9">
        <v>0</v>
      </c>
      <c r="F46" s="9">
        <f t="shared" si="0"/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10">
        <v>0</v>
      </c>
      <c r="R46" s="10">
        <v>0</v>
      </c>
      <c r="S46" s="10">
        <v>0</v>
      </c>
    </row>
    <row r="47" spans="1:19" x14ac:dyDescent="0.2">
      <c r="A47" s="9" t="s">
        <v>94</v>
      </c>
      <c r="B47" s="9" t="s">
        <v>95</v>
      </c>
      <c r="C47" s="9">
        <v>22</v>
      </c>
      <c r="D47" s="9">
        <v>0</v>
      </c>
      <c r="E47" s="9">
        <v>89</v>
      </c>
      <c r="F47" s="9">
        <f t="shared" si="0"/>
        <v>111</v>
      </c>
      <c r="H47" s="10">
        <v>77.48</v>
      </c>
      <c r="I47" s="10">
        <v>0</v>
      </c>
      <c r="J47" s="10">
        <v>89.96</v>
      </c>
      <c r="K47" s="10">
        <v>87.34</v>
      </c>
      <c r="M47" s="10">
        <v>94.085340000000002</v>
      </c>
      <c r="N47" s="10">
        <v>120.24728999999999</v>
      </c>
      <c r="O47" s="10">
        <v>114.52436</v>
      </c>
      <c r="Q47" s="10">
        <v>1326.92</v>
      </c>
      <c r="R47" s="10">
        <v>1305.77</v>
      </c>
      <c r="S47" s="10">
        <v>1310.4000000000001</v>
      </c>
    </row>
    <row r="48" spans="1:19" x14ac:dyDescent="0.2">
      <c r="A48" s="9" t="s">
        <v>96</v>
      </c>
      <c r="B48" s="9" t="s">
        <v>97</v>
      </c>
      <c r="C48" s="9">
        <v>6</v>
      </c>
      <c r="D48" s="9">
        <v>0</v>
      </c>
      <c r="E48" s="9">
        <v>25</v>
      </c>
      <c r="F48" s="9">
        <f t="shared" si="0"/>
        <v>31</v>
      </c>
      <c r="H48" s="10">
        <v>94.6</v>
      </c>
      <c r="I48" s="10">
        <v>0</v>
      </c>
      <c r="J48" s="10">
        <v>91.64</v>
      </c>
      <c r="K48" s="10">
        <v>92.19</v>
      </c>
      <c r="M48" s="10">
        <v>82.32</v>
      </c>
      <c r="N48" s="10">
        <v>84.072910000000007</v>
      </c>
      <c r="O48" s="10">
        <v>83.7483</v>
      </c>
      <c r="Q48" s="10">
        <v>1024.96</v>
      </c>
      <c r="R48" s="10">
        <v>942.56</v>
      </c>
      <c r="S48" s="10">
        <v>957.82</v>
      </c>
    </row>
    <row r="49" spans="1:19" x14ac:dyDescent="0.2">
      <c r="A49" s="9" t="s">
        <v>98</v>
      </c>
      <c r="B49" s="9" t="s">
        <v>99</v>
      </c>
      <c r="C49" s="9">
        <v>6</v>
      </c>
      <c r="D49" s="9">
        <v>0</v>
      </c>
      <c r="E49" s="9">
        <v>139</v>
      </c>
      <c r="F49" s="9">
        <f t="shared" si="0"/>
        <v>145</v>
      </c>
      <c r="H49" s="10">
        <v>99.5</v>
      </c>
      <c r="I49" s="10">
        <v>0</v>
      </c>
      <c r="J49" s="10">
        <v>129.99</v>
      </c>
      <c r="K49" s="10">
        <v>128.66999999999999</v>
      </c>
      <c r="M49" s="10">
        <v>260.125</v>
      </c>
      <c r="N49" s="10">
        <v>207.82739999999998</v>
      </c>
      <c r="O49" s="10">
        <v>210.13464999999999</v>
      </c>
      <c r="Q49" s="10">
        <v>2666.33</v>
      </c>
      <c r="R49" s="10">
        <v>2028.82</v>
      </c>
      <c r="S49" s="10">
        <v>2056.9499999999998</v>
      </c>
    </row>
    <row r="50" spans="1:19" x14ac:dyDescent="0.2">
      <c r="A50" s="9" t="s">
        <v>100</v>
      </c>
      <c r="B50" s="9" t="s">
        <v>101</v>
      </c>
      <c r="C50" s="9">
        <v>29</v>
      </c>
      <c r="D50" s="9">
        <v>0</v>
      </c>
      <c r="E50" s="9">
        <v>55</v>
      </c>
      <c r="F50" s="9">
        <f t="shared" si="0"/>
        <v>84</v>
      </c>
      <c r="H50" s="10">
        <v>99.46</v>
      </c>
      <c r="I50" s="10">
        <v>0</v>
      </c>
      <c r="J50" s="10">
        <v>110.46</v>
      </c>
      <c r="K50" s="10">
        <v>106.6</v>
      </c>
      <c r="M50" s="10">
        <v>109.00089</v>
      </c>
      <c r="N50" s="10">
        <v>130.65043</v>
      </c>
      <c r="O50" s="10">
        <v>122.83253999999999</v>
      </c>
      <c r="Q50" s="10">
        <v>1247.95</v>
      </c>
      <c r="R50" s="10">
        <v>1165.17</v>
      </c>
      <c r="S50" s="10">
        <v>1195.06</v>
      </c>
    </row>
    <row r="51" spans="1:19" x14ac:dyDescent="0.2">
      <c r="A51" s="9" t="s">
        <v>102</v>
      </c>
      <c r="B51" s="9" t="s">
        <v>103</v>
      </c>
      <c r="C51" s="9">
        <v>10</v>
      </c>
      <c r="D51" s="9">
        <v>0</v>
      </c>
      <c r="E51" s="9">
        <v>212</v>
      </c>
      <c r="F51" s="9">
        <f t="shared" si="0"/>
        <v>222</v>
      </c>
      <c r="H51" s="10">
        <v>189</v>
      </c>
      <c r="I51" s="10">
        <v>0</v>
      </c>
      <c r="J51" s="10">
        <v>127.59</v>
      </c>
      <c r="K51" s="10">
        <v>130.34</v>
      </c>
      <c r="M51" s="10">
        <v>235.77622</v>
      </c>
      <c r="N51" s="10">
        <v>210.18513000000002</v>
      </c>
      <c r="O51" s="10">
        <v>211.34251999999998</v>
      </c>
      <c r="Q51" s="10">
        <v>1575.5</v>
      </c>
      <c r="R51" s="10">
        <v>1898.06</v>
      </c>
      <c r="S51" s="10">
        <v>1883.47</v>
      </c>
    </row>
    <row r="52" spans="1:19" x14ac:dyDescent="0.2">
      <c r="A52" s="9" t="s">
        <v>104</v>
      </c>
      <c r="B52" s="9" t="s">
        <v>105</v>
      </c>
      <c r="C52" s="9">
        <v>0</v>
      </c>
      <c r="D52" s="9">
        <v>0</v>
      </c>
      <c r="E52" s="9">
        <v>99</v>
      </c>
      <c r="F52" s="9">
        <f t="shared" si="0"/>
        <v>99</v>
      </c>
      <c r="H52" s="10">
        <v>0</v>
      </c>
      <c r="I52" s="10">
        <v>0</v>
      </c>
      <c r="J52" s="10">
        <v>127.29</v>
      </c>
      <c r="K52" s="10">
        <v>127.29</v>
      </c>
      <c r="M52" s="10">
        <v>0</v>
      </c>
      <c r="N52" s="10">
        <v>240.50282999999999</v>
      </c>
      <c r="O52" s="10">
        <v>240.50282999999999</v>
      </c>
      <c r="Q52" s="10">
        <v>0</v>
      </c>
      <c r="R52" s="10">
        <v>2079.7800000000002</v>
      </c>
      <c r="S52" s="10">
        <v>2079.7800000000002</v>
      </c>
    </row>
    <row r="53" spans="1:19" x14ac:dyDescent="0.2">
      <c r="A53" s="9" t="s">
        <v>106</v>
      </c>
      <c r="B53" s="9" t="s">
        <v>107</v>
      </c>
      <c r="C53" s="9">
        <v>41</v>
      </c>
      <c r="D53" s="9">
        <v>0</v>
      </c>
      <c r="E53" s="9">
        <v>432</v>
      </c>
      <c r="F53" s="9">
        <f t="shared" si="0"/>
        <v>473</v>
      </c>
      <c r="H53" s="10">
        <v>76.459999999999994</v>
      </c>
      <c r="I53" s="10">
        <v>0</v>
      </c>
      <c r="J53" s="10">
        <v>86.64</v>
      </c>
      <c r="K53" s="10">
        <v>85.74</v>
      </c>
      <c r="M53" s="10">
        <v>311.97665000000001</v>
      </c>
      <c r="N53" s="10">
        <v>284.85076000000004</v>
      </c>
      <c r="O53" s="10">
        <v>287.33411999999998</v>
      </c>
      <c r="Q53" s="10">
        <v>4018.9</v>
      </c>
      <c r="R53" s="10">
        <v>3464.47</v>
      </c>
      <c r="S53" s="10">
        <v>3515.23</v>
      </c>
    </row>
    <row r="54" spans="1:19" x14ac:dyDescent="0.2">
      <c r="A54" s="9" t="s">
        <v>108</v>
      </c>
      <c r="B54" s="9" t="s">
        <v>109</v>
      </c>
      <c r="C54" s="9">
        <v>14</v>
      </c>
      <c r="D54" s="9">
        <v>0</v>
      </c>
      <c r="E54" s="9">
        <v>376</v>
      </c>
      <c r="F54" s="9">
        <f t="shared" si="0"/>
        <v>390</v>
      </c>
      <c r="H54" s="10">
        <v>101</v>
      </c>
      <c r="I54" s="10">
        <v>0</v>
      </c>
      <c r="J54" s="10">
        <v>79.06</v>
      </c>
      <c r="K54" s="10">
        <v>79.849999999999994</v>
      </c>
      <c r="M54" s="10">
        <v>181.75008</v>
      </c>
      <c r="N54" s="10">
        <v>165.39794000000001</v>
      </c>
      <c r="O54" s="10">
        <v>165.99985999999998</v>
      </c>
      <c r="Q54" s="10">
        <v>1906.14</v>
      </c>
      <c r="R54" s="10">
        <v>2102.6999999999998</v>
      </c>
      <c r="S54" s="10">
        <v>2095.46</v>
      </c>
    </row>
    <row r="55" spans="1:19" x14ac:dyDescent="0.2">
      <c r="A55" s="9" t="s">
        <v>110</v>
      </c>
      <c r="B55" s="9" t="s">
        <v>111</v>
      </c>
      <c r="C55" s="9">
        <v>7</v>
      </c>
      <c r="D55" s="9">
        <v>0</v>
      </c>
      <c r="E55" s="9">
        <v>440</v>
      </c>
      <c r="F55" s="9">
        <f t="shared" si="0"/>
        <v>447</v>
      </c>
      <c r="H55" s="10">
        <v>76.17</v>
      </c>
      <c r="I55" s="10">
        <v>0</v>
      </c>
      <c r="J55" s="10">
        <v>96.33</v>
      </c>
      <c r="K55" s="10">
        <v>96.04</v>
      </c>
      <c r="M55" s="10">
        <v>168.83332999999999</v>
      </c>
      <c r="N55" s="10">
        <v>251.08837</v>
      </c>
      <c r="O55" s="10">
        <v>249.91609</v>
      </c>
      <c r="Q55" s="10">
        <v>2215.91</v>
      </c>
      <c r="R55" s="10">
        <v>2598.5300000000002</v>
      </c>
      <c r="S55" s="10">
        <v>2593.08</v>
      </c>
    </row>
    <row r="56" spans="1:19" x14ac:dyDescent="0.2">
      <c r="A56" s="9" t="s">
        <v>112</v>
      </c>
      <c r="B56" s="9" t="s">
        <v>113</v>
      </c>
      <c r="C56" s="9">
        <v>5</v>
      </c>
      <c r="D56" s="9">
        <v>0</v>
      </c>
      <c r="E56" s="9">
        <v>22</v>
      </c>
      <c r="F56" s="9">
        <f t="shared" si="0"/>
        <v>27</v>
      </c>
      <c r="H56" s="10">
        <v>92.6</v>
      </c>
      <c r="I56" s="10">
        <v>0</v>
      </c>
      <c r="J56" s="10">
        <v>107.3</v>
      </c>
      <c r="K56" s="10">
        <v>104.36</v>
      </c>
      <c r="M56" s="10">
        <v>128.32419999999999</v>
      </c>
      <c r="N56" s="10">
        <v>165.92282999999998</v>
      </c>
      <c r="O56" s="10">
        <v>157.74921000000001</v>
      </c>
      <c r="Q56" s="10">
        <v>1454.11</v>
      </c>
      <c r="R56" s="10">
        <v>1511.95</v>
      </c>
      <c r="S56" s="10">
        <v>1499.38</v>
      </c>
    </row>
    <row r="57" spans="1:19" x14ac:dyDescent="0.2">
      <c r="A57" s="9" t="s">
        <v>114</v>
      </c>
      <c r="B57" s="9" t="s">
        <v>115</v>
      </c>
      <c r="C57" s="9">
        <v>20</v>
      </c>
      <c r="D57" s="9">
        <v>0</v>
      </c>
      <c r="E57" s="9">
        <v>32</v>
      </c>
      <c r="F57" s="9">
        <f t="shared" si="0"/>
        <v>52</v>
      </c>
      <c r="H57" s="10">
        <v>90.35</v>
      </c>
      <c r="I57" s="10">
        <v>0</v>
      </c>
      <c r="J57" s="10">
        <v>86.74</v>
      </c>
      <c r="K57" s="10">
        <v>88.16</v>
      </c>
      <c r="M57" s="10">
        <v>127.57025</v>
      </c>
      <c r="N57" s="10">
        <v>126.65497000000001</v>
      </c>
      <c r="O57" s="10">
        <v>127.01389999999999</v>
      </c>
      <c r="Q57" s="10">
        <v>1509.22</v>
      </c>
      <c r="R57" s="10">
        <v>1471.72</v>
      </c>
      <c r="S57" s="10">
        <v>1486.43</v>
      </c>
    </row>
    <row r="58" spans="1:19" x14ac:dyDescent="0.2">
      <c r="A58" s="9" t="s">
        <v>116</v>
      </c>
      <c r="B58" s="9" t="s">
        <v>117</v>
      </c>
      <c r="C58" s="9">
        <v>16</v>
      </c>
      <c r="D58" s="9">
        <v>0</v>
      </c>
      <c r="E58" s="9">
        <v>335</v>
      </c>
      <c r="F58" s="9">
        <f t="shared" si="0"/>
        <v>351</v>
      </c>
      <c r="H58" s="10">
        <v>118.6</v>
      </c>
      <c r="I58" s="10">
        <v>0</v>
      </c>
      <c r="J58" s="10">
        <v>96.38</v>
      </c>
      <c r="K58" s="10">
        <v>97.41</v>
      </c>
      <c r="M58" s="10">
        <v>319.06567999999999</v>
      </c>
      <c r="N58" s="10">
        <v>260.13019000000003</v>
      </c>
      <c r="O58" s="10">
        <v>263.27621000000005</v>
      </c>
      <c r="Q58" s="10">
        <v>2767.41</v>
      </c>
      <c r="R58" s="10">
        <v>2628.25</v>
      </c>
      <c r="S58" s="10">
        <v>2635.68</v>
      </c>
    </row>
    <row r="59" spans="1:19" x14ac:dyDescent="0.2">
      <c r="A59" s="9" t="s">
        <v>118</v>
      </c>
      <c r="B59" s="9" t="s">
        <v>119</v>
      </c>
      <c r="C59" s="9">
        <v>9</v>
      </c>
      <c r="D59" s="9">
        <v>0</v>
      </c>
      <c r="E59" s="9">
        <v>94</v>
      </c>
      <c r="F59" s="9">
        <f t="shared" si="0"/>
        <v>103</v>
      </c>
      <c r="H59" s="10">
        <v>142.5</v>
      </c>
      <c r="I59" s="10">
        <v>0</v>
      </c>
      <c r="J59" s="10">
        <v>161.69</v>
      </c>
      <c r="K59" s="10">
        <v>159.94999999999999</v>
      </c>
      <c r="M59" s="10">
        <v>226.8</v>
      </c>
      <c r="N59" s="10">
        <v>236.17193</v>
      </c>
      <c r="O59" s="10">
        <v>235.31994</v>
      </c>
      <c r="Q59" s="10">
        <v>1647.49</v>
      </c>
      <c r="R59" s="10">
        <v>1647.75</v>
      </c>
      <c r="S59" s="10">
        <v>1647.73</v>
      </c>
    </row>
    <row r="60" spans="1:19" x14ac:dyDescent="0.2">
      <c r="A60" s="9" t="s">
        <v>120</v>
      </c>
      <c r="B60" s="9" t="s">
        <v>121</v>
      </c>
      <c r="C60" s="9">
        <v>6</v>
      </c>
      <c r="D60" s="9">
        <v>1</v>
      </c>
      <c r="E60" s="9">
        <v>34</v>
      </c>
      <c r="F60" s="9">
        <f t="shared" si="0"/>
        <v>41</v>
      </c>
      <c r="H60" s="10">
        <v>125.6</v>
      </c>
      <c r="I60" s="10">
        <v>82</v>
      </c>
      <c r="J60" s="10">
        <v>120.48</v>
      </c>
      <c r="K60" s="10">
        <v>120.06</v>
      </c>
      <c r="M60" s="10">
        <v>96.94</v>
      </c>
      <c r="N60" s="10">
        <v>96.599929999999986</v>
      </c>
      <c r="O60" s="10">
        <v>96.670779999999993</v>
      </c>
      <c r="Q60" s="10">
        <v>763.94</v>
      </c>
      <c r="R60" s="10">
        <v>793.45</v>
      </c>
      <c r="S60" s="10">
        <v>787.3</v>
      </c>
    </row>
    <row r="61" spans="1:19" x14ac:dyDescent="0.2">
      <c r="A61" s="9" t="s">
        <v>122</v>
      </c>
      <c r="B61" s="9" t="s">
        <v>123</v>
      </c>
      <c r="C61" s="9">
        <v>12</v>
      </c>
      <c r="D61" s="9">
        <v>0</v>
      </c>
      <c r="E61" s="9">
        <v>58</v>
      </c>
      <c r="F61" s="9">
        <f t="shared" si="0"/>
        <v>70</v>
      </c>
      <c r="H61" s="10">
        <v>125</v>
      </c>
      <c r="I61" s="10">
        <v>0</v>
      </c>
      <c r="J61" s="10">
        <v>108.08</v>
      </c>
      <c r="K61" s="10">
        <v>111.23</v>
      </c>
      <c r="M61" s="10">
        <v>85.315539999999999</v>
      </c>
      <c r="N61" s="10">
        <v>75.109470000000002</v>
      </c>
      <c r="O61" s="10">
        <v>77.114229999999992</v>
      </c>
      <c r="Q61" s="10">
        <v>677.38</v>
      </c>
      <c r="R61" s="10">
        <v>743.99</v>
      </c>
      <c r="S61" s="10">
        <v>730.91</v>
      </c>
    </row>
    <row r="62" spans="1:19" x14ac:dyDescent="0.2">
      <c r="A62" s="9" t="s">
        <v>124</v>
      </c>
      <c r="B62" s="9" t="s">
        <v>125</v>
      </c>
      <c r="C62" s="9">
        <v>30</v>
      </c>
      <c r="D62" s="9">
        <v>0</v>
      </c>
      <c r="E62" s="9">
        <v>100</v>
      </c>
      <c r="F62" s="9">
        <f t="shared" si="0"/>
        <v>130</v>
      </c>
      <c r="H62" s="10">
        <v>188.92</v>
      </c>
      <c r="I62" s="10">
        <v>0</v>
      </c>
      <c r="J62" s="10">
        <v>147.74</v>
      </c>
      <c r="K62" s="10">
        <v>157.18</v>
      </c>
      <c r="M62" s="10">
        <v>220.64</v>
      </c>
      <c r="N62" s="10">
        <v>215.91917000000001</v>
      </c>
      <c r="O62" s="10">
        <v>217.01195000000001</v>
      </c>
      <c r="Q62" s="10">
        <v>1360.87</v>
      </c>
      <c r="R62" s="10">
        <v>1725.12</v>
      </c>
      <c r="S62" s="10">
        <v>1640.8</v>
      </c>
    </row>
    <row r="63" spans="1:19" x14ac:dyDescent="0.2">
      <c r="A63" s="9" t="s">
        <v>126</v>
      </c>
      <c r="B63" s="9" t="s">
        <v>127</v>
      </c>
      <c r="C63" s="9">
        <v>6</v>
      </c>
      <c r="D63" s="9">
        <v>0</v>
      </c>
      <c r="E63" s="9">
        <v>430</v>
      </c>
      <c r="F63" s="9">
        <f t="shared" si="0"/>
        <v>436</v>
      </c>
      <c r="H63" s="10">
        <v>79.67</v>
      </c>
      <c r="I63" s="10">
        <v>0</v>
      </c>
      <c r="J63" s="10">
        <v>63.51</v>
      </c>
      <c r="K63" s="10">
        <v>63.64</v>
      </c>
      <c r="M63" s="10">
        <v>245.66667000000001</v>
      </c>
      <c r="N63" s="10">
        <v>158.83132000000001</v>
      </c>
      <c r="O63" s="10">
        <v>160.01544000000001</v>
      </c>
      <c r="Q63" s="10">
        <v>3086.5</v>
      </c>
      <c r="R63" s="10">
        <v>2542.25</v>
      </c>
      <c r="S63" s="10">
        <v>2549.67</v>
      </c>
    </row>
    <row r="64" spans="1:19" x14ac:dyDescent="0.2">
      <c r="A64" s="9" t="s">
        <v>128</v>
      </c>
      <c r="B64" s="9" t="s">
        <v>129</v>
      </c>
      <c r="C64" s="9">
        <v>11</v>
      </c>
      <c r="D64" s="9">
        <v>0</v>
      </c>
      <c r="E64" s="9">
        <v>234</v>
      </c>
      <c r="F64" s="9">
        <f t="shared" si="0"/>
        <v>245</v>
      </c>
      <c r="H64" s="10">
        <v>105.44</v>
      </c>
      <c r="I64" s="10">
        <v>0</v>
      </c>
      <c r="J64" s="10">
        <v>88.54</v>
      </c>
      <c r="K64" s="10">
        <v>89.21</v>
      </c>
      <c r="M64" s="10">
        <v>145.64453</v>
      </c>
      <c r="N64" s="10">
        <v>158.31187</v>
      </c>
      <c r="O64" s="10">
        <v>157.80518000000001</v>
      </c>
      <c r="Q64" s="10">
        <v>1576.02</v>
      </c>
      <c r="R64" s="10">
        <v>1895.25</v>
      </c>
      <c r="S64" s="10">
        <v>1882.48</v>
      </c>
    </row>
    <row r="65" spans="1:19" x14ac:dyDescent="0.2">
      <c r="A65" s="9" t="s">
        <v>130</v>
      </c>
      <c r="B65" s="9" t="s">
        <v>131</v>
      </c>
      <c r="C65" s="9">
        <v>36</v>
      </c>
      <c r="D65" s="9">
        <v>1</v>
      </c>
      <c r="E65" s="9">
        <v>253</v>
      </c>
      <c r="F65" s="9">
        <f t="shared" si="0"/>
        <v>290</v>
      </c>
      <c r="H65" s="10">
        <v>87.12</v>
      </c>
      <c r="I65" s="10">
        <v>61</v>
      </c>
      <c r="J65" s="10">
        <v>87.46</v>
      </c>
      <c r="K65" s="10">
        <v>87.33</v>
      </c>
      <c r="M65" s="10">
        <v>108.07899999999999</v>
      </c>
      <c r="N65" s="10">
        <v>130.30824999999999</v>
      </c>
      <c r="O65" s="10">
        <v>128.09417999999999</v>
      </c>
      <c r="Q65" s="10">
        <v>1355.57</v>
      </c>
      <c r="R65" s="10">
        <v>1608.31</v>
      </c>
      <c r="S65" s="10">
        <v>1583.14</v>
      </c>
    </row>
    <row r="66" spans="1:19" x14ac:dyDescent="0.2">
      <c r="A66" s="9" t="s">
        <v>132</v>
      </c>
      <c r="B66" s="9" t="s">
        <v>133</v>
      </c>
      <c r="C66" s="9">
        <v>23</v>
      </c>
      <c r="D66" s="9">
        <v>0</v>
      </c>
      <c r="E66" s="9">
        <v>121</v>
      </c>
      <c r="F66" s="9">
        <f t="shared" si="0"/>
        <v>144</v>
      </c>
      <c r="H66" s="10">
        <v>81.92</v>
      </c>
      <c r="I66" s="10">
        <v>0</v>
      </c>
      <c r="J66" s="10">
        <v>79.38</v>
      </c>
      <c r="K66" s="10">
        <v>79.66</v>
      </c>
      <c r="M66" s="10">
        <v>68.916669999999996</v>
      </c>
      <c r="N66" s="10">
        <v>66.888190000000009</v>
      </c>
      <c r="O66" s="10">
        <v>67.099860000000007</v>
      </c>
      <c r="Q66" s="10">
        <v>796.89</v>
      </c>
      <c r="R66" s="10">
        <v>842.32</v>
      </c>
      <c r="S66" s="10">
        <v>837.58</v>
      </c>
    </row>
    <row r="67" spans="1:19" x14ac:dyDescent="0.2">
      <c r="A67" s="9" t="s">
        <v>134</v>
      </c>
      <c r="B67" s="9" t="s">
        <v>135</v>
      </c>
      <c r="C67" s="9">
        <v>12</v>
      </c>
      <c r="D67" s="9">
        <v>0</v>
      </c>
      <c r="E67" s="9">
        <v>53</v>
      </c>
      <c r="F67" s="9">
        <f t="shared" si="0"/>
        <v>65</v>
      </c>
      <c r="H67" s="10">
        <v>147</v>
      </c>
      <c r="I67" s="10">
        <v>0</v>
      </c>
      <c r="J67" s="10">
        <v>155.4</v>
      </c>
      <c r="K67" s="10">
        <v>153.68</v>
      </c>
      <c r="M67" s="10">
        <v>173.35295000000002</v>
      </c>
      <c r="N67" s="10">
        <v>199.69289999999998</v>
      </c>
      <c r="O67" s="10">
        <v>194.30518000000001</v>
      </c>
      <c r="Q67" s="10">
        <v>1441.26</v>
      </c>
      <c r="R67" s="10">
        <v>1539.98</v>
      </c>
      <c r="S67" s="10">
        <v>1519.79</v>
      </c>
    </row>
    <row r="68" spans="1:19" x14ac:dyDescent="0.2">
      <c r="A68" s="9" t="s">
        <v>136</v>
      </c>
      <c r="B68" s="9" t="s">
        <v>137</v>
      </c>
      <c r="C68" s="9">
        <v>14</v>
      </c>
      <c r="D68" s="9">
        <v>0</v>
      </c>
      <c r="E68" s="9">
        <v>266</v>
      </c>
      <c r="F68" s="9">
        <f t="shared" si="0"/>
        <v>280</v>
      </c>
      <c r="H68" s="10">
        <v>93.57</v>
      </c>
      <c r="I68" s="10">
        <v>0</v>
      </c>
      <c r="J68" s="10">
        <v>89.52</v>
      </c>
      <c r="K68" s="10">
        <v>89.73</v>
      </c>
      <c r="M68" s="10">
        <v>161.84614999999999</v>
      </c>
      <c r="N68" s="10">
        <v>174.39218</v>
      </c>
      <c r="O68" s="10">
        <v>173.73979</v>
      </c>
      <c r="Q68" s="10">
        <v>1822.81</v>
      </c>
      <c r="R68" s="10">
        <v>2092.9699999999998</v>
      </c>
      <c r="S68" s="10">
        <v>2078.92</v>
      </c>
    </row>
    <row r="69" spans="1:19" x14ac:dyDescent="0.2">
      <c r="A69" s="9" t="s">
        <v>138</v>
      </c>
      <c r="B69" s="9" t="s">
        <v>139</v>
      </c>
      <c r="C69" s="9">
        <v>0</v>
      </c>
      <c r="D69" s="9">
        <v>0</v>
      </c>
      <c r="E69" s="9">
        <v>195</v>
      </c>
      <c r="F69" s="9">
        <f t="shared" si="0"/>
        <v>195</v>
      </c>
      <c r="H69" s="10">
        <v>0</v>
      </c>
      <c r="I69" s="10">
        <v>0</v>
      </c>
      <c r="J69" s="10">
        <v>99.44</v>
      </c>
      <c r="K69" s="10">
        <v>99.44</v>
      </c>
      <c r="M69" s="10">
        <v>0</v>
      </c>
      <c r="N69" s="10">
        <v>142.62578999999999</v>
      </c>
      <c r="O69" s="10">
        <v>142.62578999999999</v>
      </c>
      <c r="Q69" s="10">
        <v>0</v>
      </c>
      <c r="R69" s="10">
        <v>1622.07</v>
      </c>
      <c r="S69" s="10">
        <v>1622.07</v>
      </c>
    </row>
    <row r="70" spans="1:19" x14ac:dyDescent="0.2">
      <c r="A70" s="9" t="s">
        <v>140</v>
      </c>
      <c r="B70" s="9" t="s">
        <v>141</v>
      </c>
      <c r="C70" s="9">
        <v>30</v>
      </c>
      <c r="D70" s="9">
        <v>4</v>
      </c>
      <c r="E70" s="9">
        <v>182</v>
      </c>
      <c r="F70" s="9">
        <f t="shared" si="0"/>
        <v>216</v>
      </c>
      <c r="H70" s="10">
        <v>83.21</v>
      </c>
      <c r="I70" s="10">
        <v>97.67</v>
      </c>
      <c r="J70" s="10">
        <v>92.77</v>
      </c>
      <c r="K70" s="10">
        <v>91.46</v>
      </c>
      <c r="M70" s="10">
        <v>328.78676000000002</v>
      </c>
      <c r="N70" s="10">
        <v>272.54172</v>
      </c>
      <c r="O70" s="10">
        <v>281.40643</v>
      </c>
      <c r="Q70" s="10">
        <v>4097.41</v>
      </c>
      <c r="R70" s="10">
        <v>2886.22</v>
      </c>
      <c r="S70" s="10">
        <v>3077.11</v>
      </c>
    </row>
    <row r="71" spans="1:19" x14ac:dyDescent="0.2">
      <c r="A71" s="9" t="s">
        <v>142</v>
      </c>
      <c r="B71" s="9" t="s">
        <v>143</v>
      </c>
      <c r="C71" s="9">
        <v>16</v>
      </c>
      <c r="D71" s="9">
        <v>0</v>
      </c>
      <c r="E71" s="9">
        <v>349</v>
      </c>
      <c r="F71" s="9">
        <f t="shared" ref="F71:F134" si="1">SUM(C71:E71)</f>
        <v>365</v>
      </c>
      <c r="H71" s="10">
        <v>109.83</v>
      </c>
      <c r="I71" s="10">
        <v>0</v>
      </c>
      <c r="J71" s="10">
        <v>91.04</v>
      </c>
      <c r="K71" s="10">
        <v>91.77</v>
      </c>
      <c r="M71" s="10">
        <v>128.98045999999999</v>
      </c>
      <c r="N71" s="10">
        <v>92.535730000000001</v>
      </c>
      <c r="O71" s="10">
        <v>94.038610000000006</v>
      </c>
      <c r="Q71" s="10">
        <v>1440.78</v>
      </c>
      <c r="R71" s="10">
        <v>1071.29</v>
      </c>
      <c r="S71" s="10">
        <v>1086.53</v>
      </c>
    </row>
    <row r="72" spans="1:19" x14ac:dyDescent="0.2">
      <c r="A72" s="9" t="s">
        <v>144</v>
      </c>
      <c r="B72" s="9" t="s">
        <v>145</v>
      </c>
      <c r="C72" s="9">
        <v>55</v>
      </c>
      <c r="D72" s="9">
        <v>1</v>
      </c>
      <c r="E72" s="9">
        <v>90</v>
      </c>
      <c r="F72" s="9">
        <f t="shared" si="1"/>
        <v>146</v>
      </c>
      <c r="H72" s="10">
        <v>97.85</v>
      </c>
      <c r="I72" s="10">
        <v>60</v>
      </c>
      <c r="J72" s="10">
        <v>85.54</v>
      </c>
      <c r="K72" s="10">
        <v>88.43</v>
      </c>
      <c r="M72" s="10">
        <v>184.3348</v>
      </c>
      <c r="N72" s="10">
        <v>181.56985</v>
      </c>
      <c r="O72" s="10">
        <v>182.309</v>
      </c>
      <c r="Q72" s="10">
        <v>2045.38</v>
      </c>
      <c r="R72" s="10">
        <v>2169.56</v>
      </c>
      <c r="S72" s="10">
        <v>2136.36</v>
      </c>
    </row>
    <row r="73" spans="1:19" x14ac:dyDescent="0.2">
      <c r="A73" s="9" t="s">
        <v>146</v>
      </c>
      <c r="B73" s="9" t="s">
        <v>147</v>
      </c>
      <c r="C73" s="9">
        <v>28</v>
      </c>
      <c r="D73" s="9">
        <v>0</v>
      </c>
      <c r="E73" s="9">
        <v>78</v>
      </c>
      <c r="F73" s="9">
        <f t="shared" si="1"/>
        <v>106</v>
      </c>
      <c r="H73" s="10">
        <v>119.79</v>
      </c>
      <c r="I73" s="10">
        <v>0</v>
      </c>
      <c r="J73" s="10">
        <v>124.63</v>
      </c>
      <c r="K73" s="10">
        <v>123.33</v>
      </c>
      <c r="M73" s="10">
        <v>204.0095</v>
      </c>
      <c r="N73" s="10">
        <v>217.01888</v>
      </c>
      <c r="O73" s="10">
        <v>213.51635000000002</v>
      </c>
      <c r="Q73" s="10">
        <v>1801.16</v>
      </c>
      <c r="R73" s="10">
        <v>1873.74</v>
      </c>
      <c r="S73" s="10">
        <v>1854.2</v>
      </c>
    </row>
    <row r="74" spans="1:19" x14ac:dyDescent="0.2">
      <c r="A74" s="9" t="s">
        <v>148</v>
      </c>
      <c r="B74" s="9" t="s">
        <v>149</v>
      </c>
      <c r="C74" s="9">
        <v>49</v>
      </c>
      <c r="D74" s="9">
        <v>1</v>
      </c>
      <c r="E74" s="9">
        <v>308</v>
      </c>
      <c r="F74" s="9">
        <f t="shared" si="1"/>
        <v>358</v>
      </c>
      <c r="H74" s="10">
        <v>121.57</v>
      </c>
      <c r="I74" s="10">
        <v>90</v>
      </c>
      <c r="J74" s="10">
        <v>86.97</v>
      </c>
      <c r="K74" s="10">
        <v>91.52</v>
      </c>
      <c r="M74" s="10">
        <v>476.9359</v>
      </c>
      <c r="N74" s="10">
        <v>266.78406999999999</v>
      </c>
      <c r="O74" s="10">
        <v>296.13860999999997</v>
      </c>
      <c r="Q74" s="10">
        <v>3508.92</v>
      </c>
      <c r="R74" s="10">
        <v>2926.01</v>
      </c>
      <c r="S74" s="10">
        <v>3007.43</v>
      </c>
    </row>
    <row r="75" spans="1:19" x14ac:dyDescent="0.2">
      <c r="A75" s="9" t="s">
        <v>150</v>
      </c>
      <c r="B75" s="9" t="s">
        <v>151</v>
      </c>
      <c r="C75" s="9">
        <v>2</v>
      </c>
      <c r="D75" s="9">
        <v>0</v>
      </c>
      <c r="E75" s="9">
        <v>45</v>
      </c>
      <c r="F75" s="9">
        <f t="shared" si="1"/>
        <v>47</v>
      </c>
      <c r="H75" s="10">
        <v>87.5</v>
      </c>
      <c r="I75" s="10">
        <v>0</v>
      </c>
      <c r="J75" s="10">
        <v>102.28</v>
      </c>
      <c r="K75" s="10">
        <v>101.56</v>
      </c>
      <c r="M75" s="10">
        <v>0</v>
      </c>
      <c r="N75" s="10">
        <v>138.5762</v>
      </c>
      <c r="O75" s="10">
        <v>138.0359</v>
      </c>
      <c r="Q75" s="10">
        <v>0</v>
      </c>
      <c r="R75" s="10">
        <v>1369.21</v>
      </c>
      <c r="S75" s="10">
        <v>1373.56</v>
      </c>
    </row>
    <row r="76" spans="1:19" x14ac:dyDescent="0.2">
      <c r="A76" s="9" t="s">
        <v>152</v>
      </c>
      <c r="B76" s="9" t="s">
        <v>153</v>
      </c>
      <c r="C76" s="9">
        <v>169</v>
      </c>
      <c r="D76" s="9">
        <v>21</v>
      </c>
      <c r="E76" s="9">
        <v>580</v>
      </c>
      <c r="F76" s="9">
        <f t="shared" si="1"/>
        <v>770</v>
      </c>
      <c r="H76" s="10">
        <v>88.76</v>
      </c>
      <c r="I76" s="10">
        <v>77.94</v>
      </c>
      <c r="J76" s="10">
        <v>86.92</v>
      </c>
      <c r="K76" s="10">
        <v>87.12</v>
      </c>
      <c r="M76" s="10">
        <v>171.64732000000001</v>
      </c>
      <c r="N76" s="10">
        <v>157.14802</v>
      </c>
      <c r="O76" s="10">
        <v>160.80251000000001</v>
      </c>
      <c r="Q76" s="10">
        <v>1926.41</v>
      </c>
      <c r="R76" s="10">
        <v>1853.49</v>
      </c>
      <c r="S76" s="10">
        <v>1871.87</v>
      </c>
    </row>
    <row r="77" spans="1:19" x14ac:dyDescent="0.2">
      <c r="A77" s="9" t="s">
        <v>154</v>
      </c>
      <c r="B77" s="9" t="s">
        <v>155</v>
      </c>
      <c r="C77" s="9">
        <v>87</v>
      </c>
      <c r="D77" s="9">
        <v>4</v>
      </c>
      <c r="E77" s="9">
        <v>519</v>
      </c>
      <c r="F77" s="9">
        <f t="shared" si="1"/>
        <v>610</v>
      </c>
      <c r="H77" s="10">
        <v>106.79</v>
      </c>
      <c r="I77" s="10">
        <v>78.33</v>
      </c>
      <c r="J77" s="10">
        <v>86.17</v>
      </c>
      <c r="K77" s="10">
        <v>89.33</v>
      </c>
      <c r="M77" s="10">
        <v>251.55348000000001</v>
      </c>
      <c r="N77" s="10">
        <v>152.14620000000002</v>
      </c>
      <c r="O77" s="10">
        <v>168.71408</v>
      </c>
      <c r="Q77" s="10">
        <v>2393.67</v>
      </c>
      <c r="R77" s="10">
        <v>1869.21</v>
      </c>
      <c r="S77" s="10">
        <v>1956.62</v>
      </c>
    </row>
    <row r="78" spans="1:19" x14ac:dyDescent="0.2">
      <c r="A78" s="9" t="s">
        <v>156</v>
      </c>
      <c r="B78" s="9" t="s">
        <v>157</v>
      </c>
      <c r="C78" s="9">
        <v>0</v>
      </c>
      <c r="D78" s="9">
        <v>2</v>
      </c>
      <c r="E78" s="9">
        <v>22</v>
      </c>
      <c r="F78" s="9">
        <f t="shared" si="1"/>
        <v>24</v>
      </c>
      <c r="H78" s="10">
        <v>0</v>
      </c>
      <c r="I78" s="10">
        <v>63.5</v>
      </c>
      <c r="J78" s="10">
        <v>142.1</v>
      </c>
      <c r="K78" s="10">
        <v>135.27000000000001</v>
      </c>
      <c r="M78" s="10">
        <v>0</v>
      </c>
      <c r="N78" s="10">
        <v>132.81459000000001</v>
      </c>
      <c r="O78" s="10">
        <v>132.81459000000001</v>
      </c>
      <c r="Q78" s="10">
        <v>0</v>
      </c>
      <c r="R78" s="10">
        <v>948.16</v>
      </c>
      <c r="S78" s="10">
        <v>948.16</v>
      </c>
    </row>
    <row r="79" spans="1:19" x14ac:dyDescent="0.2">
      <c r="A79" s="9" t="s">
        <v>158</v>
      </c>
      <c r="B79" s="9" t="s">
        <v>159</v>
      </c>
      <c r="C79" s="9">
        <v>336</v>
      </c>
      <c r="D79" s="9">
        <v>85</v>
      </c>
      <c r="E79" s="9">
        <v>1667</v>
      </c>
      <c r="F79" s="9">
        <f t="shared" si="1"/>
        <v>2088</v>
      </c>
      <c r="H79" s="10">
        <v>87.56</v>
      </c>
      <c r="I79" s="10">
        <v>90.58</v>
      </c>
      <c r="J79" s="10">
        <v>59.53</v>
      </c>
      <c r="K79" s="10">
        <v>65.37</v>
      </c>
      <c r="M79" s="10">
        <v>213.84345000000002</v>
      </c>
      <c r="N79" s="10">
        <v>140.21701999999999</v>
      </c>
      <c r="O79" s="10">
        <v>154.13067999999998</v>
      </c>
      <c r="Q79" s="10">
        <v>2445.86</v>
      </c>
      <c r="R79" s="10">
        <v>2399.39</v>
      </c>
      <c r="S79" s="10">
        <v>2408.17</v>
      </c>
    </row>
    <row r="80" spans="1:19" x14ac:dyDescent="0.2">
      <c r="A80" s="9" t="s">
        <v>160</v>
      </c>
      <c r="B80" s="9" t="s">
        <v>161</v>
      </c>
      <c r="C80" s="9">
        <v>65</v>
      </c>
      <c r="D80" s="9">
        <v>6</v>
      </c>
      <c r="E80" s="9">
        <v>266</v>
      </c>
      <c r="F80" s="9">
        <f t="shared" si="1"/>
        <v>337</v>
      </c>
      <c r="H80" s="10">
        <v>122.14</v>
      </c>
      <c r="I80" s="10">
        <v>85.83</v>
      </c>
      <c r="J80" s="10">
        <v>98.64</v>
      </c>
      <c r="K80" s="10">
        <v>103.3</v>
      </c>
      <c r="M80" s="10">
        <v>187.61720000000003</v>
      </c>
      <c r="N80" s="10">
        <v>107.22019999999999</v>
      </c>
      <c r="O80" s="10">
        <v>125.63842</v>
      </c>
      <c r="Q80" s="10">
        <v>1548.15</v>
      </c>
      <c r="R80" s="10">
        <v>1105.8699999999999</v>
      </c>
      <c r="S80" s="10">
        <v>1207.19</v>
      </c>
    </row>
    <row r="81" spans="1:19" x14ac:dyDescent="0.2">
      <c r="A81" s="9" t="s">
        <v>162</v>
      </c>
      <c r="B81" s="9" t="s">
        <v>163</v>
      </c>
      <c r="C81" s="9">
        <v>12</v>
      </c>
      <c r="D81" s="9">
        <v>3</v>
      </c>
      <c r="E81" s="9">
        <v>65</v>
      </c>
      <c r="F81" s="9">
        <f t="shared" si="1"/>
        <v>80</v>
      </c>
      <c r="H81" s="10">
        <v>89.67</v>
      </c>
      <c r="I81" s="10">
        <v>56</v>
      </c>
      <c r="J81" s="10">
        <v>79.739999999999995</v>
      </c>
      <c r="K81" s="10">
        <v>80.75</v>
      </c>
      <c r="M81" s="10">
        <v>99.795380000000009</v>
      </c>
      <c r="N81" s="10">
        <v>137.05938</v>
      </c>
      <c r="O81" s="10">
        <v>129.72875999999999</v>
      </c>
      <c r="Q81" s="10">
        <v>1352.94</v>
      </c>
      <c r="R81" s="10">
        <v>1711.37</v>
      </c>
      <c r="S81" s="10">
        <v>1640.86</v>
      </c>
    </row>
    <row r="82" spans="1:19" x14ac:dyDescent="0.2">
      <c r="A82" s="9" t="s">
        <v>164</v>
      </c>
      <c r="B82" s="9" t="s">
        <v>165</v>
      </c>
      <c r="C82" s="9">
        <v>34</v>
      </c>
      <c r="D82" s="9">
        <v>1</v>
      </c>
      <c r="E82" s="9">
        <v>46</v>
      </c>
      <c r="F82" s="9">
        <f t="shared" si="1"/>
        <v>81</v>
      </c>
      <c r="H82" s="10">
        <v>104.68</v>
      </c>
      <c r="I82" s="10">
        <v>82</v>
      </c>
      <c r="J82" s="10">
        <v>112.93</v>
      </c>
      <c r="K82" s="10">
        <v>109.11</v>
      </c>
      <c r="M82" s="10">
        <v>72.567869999999999</v>
      </c>
      <c r="N82" s="10">
        <v>115.89758</v>
      </c>
      <c r="O82" s="10">
        <v>97.497289999999992</v>
      </c>
      <c r="Q82" s="10">
        <v>736.33</v>
      </c>
      <c r="R82" s="10">
        <v>1073.46</v>
      </c>
      <c r="S82" s="10">
        <v>930.3</v>
      </c>
    </row>
    <row r="83" spans="1:19" x14ac:dyDescent="0.2">
      <c r="A83" s="9" t="s">
        <v>166</v>
      </c>
      <c r="B83" s="9" t="s">
        <v>167</v>
      </c>
      <c r="C83" s="9">
        <v>246</v>
      </c>
      <c r="D83" s="9">
        <v>77</v>
      </c>
      <c r="E83" s="9">
        <v>726</v>
      </c>
      <c r="F83" s="9">
        <f t="shared" si="1"/>
        <v>1049</v>
      </c>
      <c r="H83" s="10">
        <v>102.77</v>
      </c>
      <c r="I83" s="10">
        <v>86.67</v>
      </c>
      <c r="J83" s="10">
        <v>87.63</v>
      </c>
      <c r="K83" s="10">
        <v>91.37</v>
      </c>
      <c r="M83" s="10">
        <v>122.15401</v>
      </c>
      <c r="N83" s="10">
        <v>91.180289999999999</v>
      </c>
      <c r="O83" s="10">
        <v>101.22199999999999</v>
      </c>
      <c r="Q83" s="10">
        <v>1077.8</v>
      </c>
      <c r="R83" s="10">
        <v>1043.02</v>
      </c>
      <c r="S83" s="10">
        <v>1054.3</v>
      </c>
    </row>
    <row r="84" spans="1:19" x14ac:dyDescent="0.2">
      <c r="A84" s="9" t="s">
        <v>168</v>
      </c>
      <c r="B84" s="9" t="s">
        <v>169</v>
      </c>
      <c r="C84" s="9">
        <v>21</v>
      </c>
      <c r="D84" s="9">
        <v>0</v>
      </c>
      <c r="E84" s="9">
        <v>85</v>
      </c>
      <c r="F84" s="9">
        <f t="shared" si="1"/>
        <v>106</v>
      </c>
      <c r="H84" s="10">
        <v>172.5</v>
      </c>
      <c r="I84" s="10">
        <v>0</v>
      </c>
      <c r="J84" s="10">
        <v>166.39</v>
      </c>
      <c r="K84" s="10">
        <v>167.58</v>
      </c>
      <c r="M84" s="10">
        <v>218.08005</v>
      </c>
      <c r="N84" s="10">
        <v>216.86045000000001</v>
      </c>
      <c r="O84" s="10">
        <v>217.10195000000002</v>
      </c>
      <c r="Q84" s="10">
        <v>1380.79</v>
      </c>
      <c r="R84" s="10">
        <v>1416.13</v>
      </c>
      <c r="S84" s="10">
        <v>1409.13</v>
      </c>
    </row>
    <row r="85" spans="1:19" x14ac:dyDescent="0.2">
      <c r="A85" s="9" t="s">
        <v>170</v>
      </c>
      <c r="B85" s="9" t="s">
        <v>171</v>
      </c>
      <c r="C85" s="9">
        <v>2</v>
      </c>
      <c r="D85" s="9">
        <v>0</v>
      </c>
      <c r="E85" s="9">
        <v>41</v>
      </c>
      <c r="F85" s="9">
        <f t="shared" si="1"/>
        <v>43</v>
      </c>
      <c r="H85" s="10">
        <v>70.5</v>
      </c>
      <c r="I85" s="10">
        <v>0</v>
      </c>
      <c r="J85" s="10">
        <v>156.82</v>
      </c>
      <c r="K85" s="10">
        <v>152.61000000000001</v>
      </c>
      <c r="M85" s="10">
        <v>0</v>
      </c>
      <c r="N85" s="10">
        <v>215.05261999999999</v>
      </c>
      <c r="O85" s="10">
        <v>210.90370999999999</v>
      </c>
      <c r="Q85" s="10">
        <v>0</v>
      </c>
      <c r="R85" s="10">
        <v>1556.3</v>
      </c>
      <c r="S85" s="10">
        <v>1572.58</v>
      </c>
    </row>
    <row r="86" spans="1:19" x14ac:dyDescent="0.2">
      <c r="A86" s="9" t="s">
        <v>172</v>
      </c>
      <c r="B86" s="9" t="s">
        <v>173</v>
      </c>
      <c r="C86" s="9">
        <v>5</v>
      </c>
      <c r="D86" s="9">
        <v>0</v>
      </c>
      <c r="E86" s="9">
        <v>75</v>
      </c>
      <c r="F86" s="9">
        <f t="shared" si="1"/>
        <v>80</v>
      </c>
      <c r="H86" s="10">
        <v>182.2</v>
      </c>
      <c r="I86" s="10">
        <v>0</v>
      </c>
      <c r="J86" s="10">
        <v>127.65</v>
      </c>
      <c r="K86" s="10">
        <v>131.19</v>
      </c>
      <c r="M86" s="10">
        <v>300.27999999999997</v>
      </c>
      <c r="N86" s="10">
        <v>185.03003000000001</v>
      </c>
      <c r="O86" s="10">
        <v>192.51379</v>
      </c>
      <c r="Q86" s="10">
        <v>1660.82</v>
      </c>
      <c r="R86" s="10">
        <v>1674.78</v>
      </c>
      <c r="S86" s="10">
        <v>1673.87</v>
      </c>
    </row>
    <row r="87" spans="1:19" x14ac:dyDescent="0.2">
      <c r="A87" s="9" t="s">
        <v>174</v>
      </c>
      <c r="B87" s="9" t="s">
        <v>175</v>
      </c>
      <c r="C87" s="9">
        <v>20</v>
      </c>
      <c r="D87" s="9">
        <v>0</v>
      </c>
      <c r="E87" s="9">
        <v>446</v>
      </c>
      <c r="F87" s="9">
        <f t="shared" si="1"/>
        <v>466</v>
      </c>
      <c r="H87" s="10">
        <v>127.17</v>
      </c>
      <c r="I87" s="10">
        <v>0</v>
      </c>
      <c r="J87" s="10">
        <v>78.45</v>
      </c>
      <c r="K87" s="10">
        <v>80.53</v>
      </c>
      <c r="M87" s="10">
        <v>155.21662000000001</v>
      </c>
      <c r="N87" s="10">
        <v>132.95173</v>
      </c>
      <c r="O87" s="10">
        <v>133.91051000000002</v>
      </c>
      <c r="Q87" s="10">
        <v>1331.33</v>
      </c>
      <c r="R87" s="10">
        <v>1736.24</v>
      </c>
      <c r="S87" s="10">
        <v>1718.8</v>
      </c>
    </row>
    <row r="88" spans="1:19" x14ac:dyDescent="0.2">
      <c r="A88" s="9" t="s">
        <v>176</v>
      </c>
      <c r="B88" s="9" t="s">
        <v>177</v>
      </c>
      <c r="C88" s="9">
        <v>6</v>
      </c>
      <c r="D88" s="9">
        <v>0</v>
      </c>
      <c r="E88" s="9">
        <v>75</v>
      </c>
      <c r="F88" s="9">
        <f t="shared" si="1"/>
        <v>81</v>
      </c>
      <c r="H88" s="10">
        <v>172.6</v>
      </c>
      <c r="I88" s="10">
        <v>0</v>
      </c>
      <c r="J88" s="10">
        <v>117.48</v>
      </c>
      <c r="K88" s="10">
        <v>121.72</v>
      </c>
      <c r="M88" s="10">
        <v>138.4</v>
      </c>
      <c r="N88" s="10">
        <v>110.08802</v>
      </c>
      <c r="O88" s="10">
        <v>112.26586</v>
      </c>
      <c r="Q88" s="10">
        <v>862.02</v>
      </c>
      <c r="R88" s="10">
        <v>1090.3499999999999</v>
      </c>
      <c r="S88" s="10">
        <v>1072.79</v>
      </c>
    </row>
    <row r="89" spans="1:19" x14ac:dyDescent="0.2">
      <c r="A89" s="9" t="s">
        <v>178</v>
      </c>
      <c r="B89" s="9" t="s">
        <v>179</v>
      </c>
      <c r="C89" s="9">
        <v>22</v>
      </c>
      <c r="D89" s="9">
        <v>0</v>
      </c>
      <c r="E89" s="9">
        <v>160</v>
      </c>
      <c r="F89" s="9">
        <f t="shared" si="1"/>
        <v>182</v>
      </c>
      <c r="H89" s="10">
        <v>87.95</v>
      </c>
      <c r="I89" s="10">
        <v>0</v>
      </c>
      <c r="J89" s="10">
        <v>84.52</v>
      </c>
      <c r="K89" s="10">
        <v>84.95</v>
      </c>
      <c r="M89" s="10">
        <v>151.40242999999998</v>
      </c>
      <c r="N89" s="10">
        <v>129.91194999999999</v>
      </c>
      <c r="O89" s="10">
        <v>132.66378</v>
      </c>
      <c r="Q89" s="10">
        <v>1793.97</v>
      </c>
      <c r="R89" s="10">
        <v>1629.11</v>
      </c>
      <c r="S89" s="10">
        <v>1650.22</v>
      </c>
    </row>
    <row r="90" spans="1:19" x14ac:dyDescent="0.2">
      <c r="A90" s="9" t="s">
        <v>180</v>
      </c>
      <c r="B90" s="9" t="s">
        <v>181</v>
      </c>
      <c r="C90" s="9">
        <v>7</v>
      </c>
      <c r="D90" s="9">
        <v>0</v>
      </c>
      <c r="E90" s="9">
        <v>149</v>
      </c>
      <c r="F90" s="9">
        <f t="shared" si="1"/>
        <v>156</v>
      </c>
      <c r="H90" s="10">
        <v>106</v>
      </c>
      <c r="I90" s="10">
        <v>0</v>
      </c>
      <c r="J90" s="10">
        <v>96.62</v>
      </c>
      <c r="K90" s="10">
        <v>96.98</v>
      </c>
      <c r="M90" s="10">
        <v>107.44544999999999</v>
      </c>
      <c r="N90" s="10">
        <v>75.747520000000009</v>
      </c>
      <c r="O90" s="10">
        <v>76.966669999999993</v>
      </c>
      <c r="Q90" s="10">
        <v>1002.12</v>
      </c>
      <c r="R90" s="10">
        <v>830.62</v>
      </c>
      <c r="S90" s="10">
        <v>837.22</v>
      </c>
    </row>
    <row r="91" spans="1:19" x14ac:dyDescent="0.2">
      <c r="A91" s="9" t="s">
        <v>182</v>
      </c>
      <c r="B91" s="9" t="s">
        <v>183</v>
      </c>
      <c r="C91" s="9">
        <v>244</v>
      </c>
      <c r="D91" s="9">
        <v>14</v>
      </c>
      <c r="E91" s="9">
        <v>548</v>
      </c>
      <c r="F91" s="9">
        <f t="shared" si="1"/>
        <v>806</v>
      </c>
      <c r="H91" s="10">
        <v>78.67</v>
      </c>
      <c r="I91" s="10">
        <v>84.77</v>
      </c>
      <c r="J91" s="10">
        <v>85.83</v>
      </c>
      <c r="K91" s="10">
        <v>83.63</v>
      </c>
      <c r="M91" s="10">
        <v>70.756489999999999</v>
      </c>
      <c r="N91" s="10">
        <v>97.595529999999997</v>
      </c>
      <c r="O91" s="10">
        <v>89.155110000000008</v>
      </c>
      <c r="Q91" s="10">
        <v>898.02</v>
      </c>
      <c r="R91" s="10">
        <v>1095.5999999999999</v>
      </c>
      <c r="S91" s="10">
        <v>1033.46</v>
      </c>
    </row>
    <row r="92" spans="1:19" x14ac:dyDescent="0.2">
      <c r="A92" s="9" t="s">
        <v>184</v>
      </c>
      <c r="B92" s="9" t="s">
        <v>185</v>
      </c>
      <c r="C92" s="9">
        <v>6</v>
      </c>
      <c r="D92" s="9">
        <v>0</v>
      </c>
      <c r="E92" s="9">
        <v>184</v>
      </c>
      <c r="F92" s="9">
        <f t="shared" si="1"/>
        <v>190</v>
      </c>
      <c r="H92" s="10">
        <v>107.17</v>
      </c>
      <c r="I92" s="10">
        <v>0</v>
      </c>
      <c r="J92" s="10">
        <v>86.69</v>
      </c>
      <c r="K92" s="10">
        <v>87.42</v>
      </c>
      <c r="M92" s="10">
        <v>171.33332999999999</v>
      </c>
      <c r="N92" s="10">
        <v>136.75618</v>
      </c>
      <c r="O92" s="10">
        <v>137.98376999999999</v>
      </c>
      <c r="Q92" s="10">
        <v>1623.76</v>
      </c>
      <c r="R92" s="10">
        <v>1607.67</v>
      </c>
      <c r="S92" s="10">
        <v>1608.24</v>
      </c>
    </row>
    <row r="93" spans="1:19" x14ac:dyDescent="0.2">
      <c r="A93" s="9" t="s">
        <v>186</v>
      </c>
      <c r="B93" s="9" t="s">
        <v>187</v>
      </c>
      <c r="C93" s="9">
        <v>119</v>
      </c>
      <c r="D93" s="9">
        <v>0</v>
      </c>
      <c r="E93" s="9">
        <v>131</v>
      </c>
      <c r="F93" s="9">
        <f t="shared" si="1"/>
        <v>250</v>
      </c>
      <c r="H93" s="10">
        <v>73.81</v>
      </c>
      <c r="I93" s="10">
        <v>0</v>
      </c>
      <c r="J93" s="10">
        <v>107.88</v>
      </c>
      <c r="K93" s="10">
        <v>91.68</v>
      </c>
      <c r="M93" s="10">
        <v>262.23533000000003</v>
      </c>
      <c r="N93" s="10">
        <v>303.71436999999997</v>
      </c>
      <c r="O93" s="10">
        <v>283.91368</v>
      </c>
      <c r="Q93" s="10">
        <v>3693.02</v>
      </c>
      <c r="R93" s="10">
        <v>3057.57</v>
      </c>
      <c r="S93" s="10">
        <v>3360.91</v>
      </c>
    </row>
    <row r="94" spans="1:19" x14ac:dyDescent="0.2">
      <c r="A94" s="9" t="s">
        <v>188</v>
      </c>
      <c r="B94" s="9" t="s">
        <v>189</v>
      </c>
      <c r="C94" s="9">
        <v>6</v>
      </c>
      <c r="D94" s="9">
        <v>0</v>
      </c>
      <c r="E94" s="9">
        <v>53</v>
      </c>
      <c r="F94" s="9">
        <f t="shared" si="1"/>
        <v>59</v>
      </c>
      <c r="H94" s="10">
        <v>123.2</v>
      </c>
      <c r="I94" s="10">
        <v>0</v>
      </c>
      <c r="J94" s="10">
        <v>120.59</v>
      </c>
      <c r="K94" s="10">
        <v>120.83</v>
      </c>
      <c r="M94" s="10">
        <v>189.8</v>
      </c>
      <c r="N94" s="10">
        <v>153.25371999999999</v>
      </c>
      <c r="O94" s="10">
        <v>156.63763</v>
      </c>
      <c r="Q94" s="10">
        <v>1514.75</v>
      </c>
      <c r="R94" s="10">
        <v>1417.98</v>
      </c>
      <c r="S94" s="10">
        <v>1426.94</v>
      </c>
    </row>
    <row r="95" spans="1:19" x14ac:dyDescent="0.2">
      <c r="A95" s="9" t="s">
        <v>190</v>
      </c>
      <c r="B95" s="9" t="s">
        <v>191</v>
      </c>
      <c r="C95" s="9">
        <v>0</v>
      </c>
      <c r="D95" s="9">
        <v>0</v>
      </c>
      <c r="E95" s="9">
        <v>58</v>
      </c>
      <c r="F95" s="9">
        <f t="shared" si="1"/>
        <v>58</v>
      </c>
      <c r="H95" s="10">
        <v>0</v>
      </c>
      <c r="I95" s="10">
        <v>0</v>
      </c>
      <c r="J95" s="10">
        <v>206.29</v>
      </c>
      <c r="K95" s="10">
        <v>206.29</v>
      </c>
      <c r="M95" s="10">
        <v>0</v>
      </c>
      <c r="N95" s="10">
        <v>447.80612000000002</v>
      </c>
      <c r="O95" s="10">
        <v>447.80612000000002</v>
      </c>
      <c r="Q95" s="10">
        <v>0</v>
      </c>
      <c r="R95" s="10">
        <v>2539.0300000000002</v>
      </c>
      <c r="S95" s="10">
        <v>2539.0300000000002</v>
      </c>
    </row>
    <row r="96" spans="1:19" x14ac:dyDescent="0.2">
      <c r="A96" s="9" t="s">
        <v>192</v>
      </c>
      <c r="B96" s="9" t="s">
        <v>193</v>
      </c>
      <c r="C96" s="9">
        <v>219</v>
      </c>
      <c r="D96" s="9">
        <v>0</v>
      </c>
      <c r="E96" s="9">
        <v>927</v>
      </c>
      <c r="F96" s="9">
        <f t="shared" si="1"/>
        <v>1146</v>
      </c>
      <c r="H96" s="10">
        <v>90.5</v>
      </c>
      <c r="I96" s="10">
        <v>0</v>
      </c>
      <c r="J96" s="10">
        <v>86.18</v>
      </c>
      <c r="K96" s="10">
        <v>86.72</v>
      </c>
      <c r="M96" s="10">
        <v>183.81383</v>
      </c>
      <c r="N96" s="10">
        <v>171.65626</v>
      </c>
      <c r="O96" s="10">
        <v>173.17752999999999</v>
      </c>
      <c r="Q96" s="10">
        <v>2161.73</v>
      </c>
      <c r="R96" s="10">
        <v>2080.77</v>
      </c>
      <c r="S96" s="10">
        <v>2090.9</v>
      </c>
    </row>
    <row r="97" spans="1:19" x14ac:dyDescent="0.2">
      <c r="A97" s="9" t="s">
        <v>194</v>
      </c>
      <c r="B97" s="9" t="s">
        <v>195</v>
      </c>
      <c r="C97" s="9">
        <v>13</v>
      </c>
      <c r="D97" s="9">
        <v>0</v>
      </c>
      <c r="E97" s="9">
        <v>35</v>
      </c>
      <c r="F97" s="9">
        <f t="shared" si="1"/>
        <v>48</v>
      </c>
      <c r="H97" s="10">
        <v>125.38</v>
      </c>
      <c r="I97" s="10">
        <v>0</v>
      </c>
      <c r="J97" s="10">
        <v>112.94</v>
      </c>
      <c r="K97" s="10">
        <v>116.38</v>
      </c>
      <c r="M97" s="10">
        <v>128.73077000000001</v>
      </c>
      <c r="N97" s="10">
        <v>149.21832999999998</v>
      </c>
      <c r="O97" s="10">
        <v>143.55155999999999</v>
      </c>
      <c r="Q97" s="10">
        <v>1095.5</v>
      </c>
      <c r="R97" s="10">
        <v>1670.79</v>
      </c>
      <c r="S97" s="10">
        <v>1511.67</v>
      </c>
    </row>
    <row r="98" spans="1:19" x14ac:dyDescent="0.2">
      <c r="A98" s="9" t="s">
        <v>196</v>
      </c>
      <c r="B98" s="9" t="s">
        <v>197</v>
      </c>
      <c r="C98" s="9">
        <v>74</v>
      </c>
      <c r="D98" s="9">
        <v>0</v>
      </c>
      <c r="E98" s="9">
        <v>137</v>
      </c>
      <c r="F98" s="9">
        <f t="shared" si="1"/>
        <v>211</v>
      </c>
      <c r="H98" s="10">
        <v>96.9</v>
      </c>
      <c r="I98" s="10">
        <v>0</v>
      </c>
      <c r="J98" s="10">
        <v>90.02</v>
      </c>
      <c r="K98" s="10">
        <v>92.46</v>
      </c>
      <c r="M98" s="10">
        <v>223.76904000000002</v>
      </c>
      <c r="N98" s="10">
        <v>227.48170000000002</v>
      </c>
      <c r="O98" s="10">
        <v>226.12991</v>
      </c>
      <c r="Q98" s="10">
        <v>2411.69</v>
      </c>
      <c r="R98" s="10">
        <v>2567.83</v>
      </c>
      <c r="S98" s="10">
        <v>2510.98</v>
      </c>
    </row>
    <row r="99" spans="1:19" x14ac:dyDescent="0.2">
      <c r="A99" s="9" t="s">
        <v>198</v>
      </c>
      <c r="B99" s="9" t="s">
        <v>199</v>
      </c>
      <c r="C99" s="9">
        <v>11</v>
      </c>
      <c r="D99" s="9">
        <v>0</v>
      </c>
      <c r="E99" s="9">
        <v>126</v>
      </c>
      <c r="F99" s="9">
        <f t="shared" si="1"/>
        <v>137</v>
      </c>
      <c r="H99" s="10">
        <v>93</v>
      </c>
      <c r="I99" s="10">
        <v>0</v>
      </c>
      <c r="J99" s="10">
        <v>91.85</v>
      </c>
      <c r="K99" s="10">
        <v>91.91</v>
      </c>
      <c r="M99" s="10">
        <v>41.4</v>
      </c>
      <c r="N99" s="10">
        <v>69.361559999999997</v>
      </c>
      <c r="O99" s="10">
        <v>67.613960000000006</v>
      </c>
      <c r="Q99" s="10">
        <v>443.37</v>
      </c>
      <c r="R99" s="10">
        <v>777.97</v>
      </c>
      <c r="S99" s="10">
        <v>757.06</v>
      </c>
    </row>
    <row r="100" spans="1:19" x14ac:dyDescent="0.2">
      <c r="A100" s="9" t="s">
        <v>200</v>
      </c>
      <c r="B100" s="9" t="s">
        <v>201</v>
      </c>
      <c r="C100" s="9">
        <v>41</v>
      </c>
      <c r="D100" s="9">
        <v>6</v>
      </c>
      <c r="E100" s="9">
        <v>272</v>
      </c>
      <c r="F100" s="9">
        <f t="shared" si="1"/>
        <v>319</v>
      </c>
      <c r="H100" s="10">
        <v>86.94</v>
      </c>
      <c r="I100" s="10">
        <v>80.33</v>
      </c>
      <c r="J100" s="10">
        <v>87.05</v>
      </c>
      <c r="K100" s="10">
        <v>86.89</v>
      </c>
      <c r="M100" s="10">
        <v>135.99487999999999</v>
      </c>
      <c r="N100" s="10">
        <v>146.28550000000001</v>
      </c>
      <c r="O100" s="10">
        <v>144.77956</v>
      </c>
      <c r="Q100" s="10">
        <v>1670.1</v>
      </c>
      <c r="R100" s="10">
        <v>1834.86</v>
      </c>
      <c r="S100" s="10">
        <v>1810.75</v>
      </c>
    </row>
    <row r="101" spans="1:19" x14ac:dyDescent="0.2">
      <c r="A101" s="9" t="s">
        <v>202</v>
      </c>
      <c r="B101" s="9" t="s">
        <v>203</v>
      </c>
      <c r="C101" s="9">
        <v>7</v>
      </c>
      <c r="D101" s="9">
        <v>1</v>
      </c>
      <c r="E101" s="9">
        <v>40</v>
      </c>
      <c r="F101" s="9">
        <f t="shared" si="1"/>
        <v>48</v>
      </c>
      <c r="H101" s="10">
        <v>246.14</v>
      </c>
      <c r="I101" s="10">
        <v>0</v>
      </c>
      <c r="J101" s="10">
        <v>97.85</v>
      </c>
      <c r="K101" s="10">
        <v>129.31</v>
      </c>
      <c r="M101" s="10">
        <v>270.5</v>
      </c>
      <c r="N101" s="10">
        <v>94.266059999999996</v>
      </c>
      <c r="O101" s="10">
        <v>141.71366</v>
      </c>
      <c r="Q101" s="10">
        <v>1101.49</v>
      </c>
      <c r="R101" s="10">
        <v>1034.5999999999999</v>
      </c>
      <c r="S101" s="10">
        <v>1052.6099999999999</v>
      </c>
    </row>
    <row r="102" spans="1:19" x14ac:dyDescent="0.2">
      <c r="A102" s="9" t="s">
        <v>204</v>
      </c>
      <c r="B102" s="9" t="s">
        <v>205</v>
      </c>
      <c r="C102" s="9">
        <v>59</v>
      </c>
      <c r="D102" s="9">
        <v>1</v>
      </c>
      <c r="E102" s="9">
        <v>227</v>
      </c>
      <c r="F102" s="9">
        <f t="shared" si="1"/>
        <v>287</v>
      </c>
      <c r="H102" s="10">
        <v>93.71</v>
      </c>
      <c r="I102" s="10">
        <v>61</v>
      </c>
      <c r="J102" s="10">
        <v>78.930000000000007</v>
      </c>
      <c r="K102" s="10">
        <v>81.89</v>
      </c>
      <c r="M102" s="10">
        <v>171.59818999999999</v>
      </c>
      <c r="N102" s="10">
        <v>146.49217999999999</v>
      </c>
      <c r="O102" s="10">
        <v>151.91763</v>
      </c>
      <c r="Q102" s="10">
        <v>1982.03</v>
      </c>
      <c r="R102" s="10">
        <v>1845.13</v>
      </c>
      <c r="S102" s="10">
        <v>1874.71</v>
      </c>
    </row>
    <row r="103" spans="1:19" x14ac:dyDescent="0.2">
      <c r="A103" s="9" t="s">
        <v>206</v>
      </c>
      <c r="B103" s="9" t="s">
        <v>207</v>
      </c>
      <c r="C103" s="9">
        <v>5</v>
      </c>
      <c r="D103" s="9">
        <v>0</v>
      </c>
      <c r="E103" s="9">
        <v>53</v>
      </c>
      <c r="F103" s="9">
        <f t="shared" si="1"/>
        <v>58</v>
      </c>
      <c r="H103" s="10">
        <v>157.4</v>
      </c>
      <c r="I103" s="10">
        <v>0</v>
      </c>
      <c r="J103" s="10">
        <v>99.33</v>
      </c>
      <c r="K103" s="10">
        <v>104.71</v>
      </c>
      <c r="M103" s="10">
        <v>350.80040000000002</v>
      </c>
      <c r="N103" s="10">
        <v>295.97030000000001</v>
      </c>
      <c r="O103" s="10">
        <v>301.14294999999998</v>
      </c>
      <c r="Q103" s="10">
        <v>2104.87</v>
      </c>
      <c r="R103" s="10">
        <v>3023.22</v>
      </c>
      <c r="S103" s="10">
        <v>2936.58</v>
      </c>
    </row>
    <row r="104" spans="1:19" x14ac:dyDescent="0.2">
      <c r="A104" s="9" t="s">
        <v>208</v>
      </c>
      <c r="B104" s="9" t="s">
        <v>209</v>
      </c>
      <c r="C104" s="9">
        <v>7</v>
      </c>
      <c r="D104" s="9">
        <v>0</v>
      </c>
      <c r="E104" s="9">
        <v>33</v>
      </c>
      <c r="F104" s="9">
        <f t="shared" si="1"/>
        <v>40</v>
      </c>
      <c r="H104" s="10">
        <v>96.86</v>
      </c>
      <c r="I104" s="10">
        <v>0</v>
      </c>
      <c r="J104" s="10">
        <v>98.9</v>
      </c>
      <c r="K104" s="10">
        <v>98.5</v>
      </c>
      <c r="M104" s="10">
        <v>152.28570999999999</v>
      </c>
      <c r="N104" s="10">
        <v>164.86632999999998</v>
      </c>
      <c r="O104" s="10">
        <v>162.35021</v>
      </c>
      <c r="Q104" s="10">
        <v>1617.13</v>
      </c>
      <c r="R104" s="10">
        <v>1782.51</v>
      </c>
      <c r="S104" s="10">
        <v>1749.43</v>
      </c>
    </row>
    <row r="105" spans="1:19" x14ac:dyDescent="0.2">
      <c r="A105" s="9" t="s">
        <v>210</v>
      </c>
      <c r="B105" s="9" t="s">
        <v>211</v>
      </c>
      <c r="C105" s="9">
        <v>12</v>
      </c>
      <c r="D105" s="9">
        <v>1</v>
      </c>
      <c r="E105" s="9">
        <v>89</v>
      </c>
      <c r="F105" s="9">
        <f t="shared" si="1"/>
        <v>102</v>
      </c>
      <c r="H105" s="10">
        <v>89.25</v>
      </c>
      <c r="I105" s="10">
        <v>45</v>
      </c>
      <c r="J105" s="10">
        <v>79.55</v>
      </c>
      <c r="K105" s="10">
        <v>80.069999999999993</v>
      </c>
      <c r="M105" s="10">
        <v>124.14286</v>
      </c>
      <c r="N105" s="10">
        <v>150.27748</v>
      </c>
      <c r="O105" s="10">
        <v>147.80529000000001</v>
      </c>
      <c r="Q105" s="10">
        <v>1475.55</v>
      </c>
      <c r="R105" s="10">
        <v>1827.12</v>
      </c>
      <c r="S105" s="10">
        <v>1793.86</v>
      </c>
    </row>
    <row r="106" spans="1:19" x14ac:dyDescent="0.2">
      <c r="A106" s="9" t="s">
        <v>212</v>
      </c>
      <c r="B106" s="9" t="s">
        <v>213</v>
      </c>
      <c r="C106" s="9">
        <v>0</v>
      </c>
      <c r="D106" s="9">
        <v>0</v>
      </c>
      <c r="E106" s="9">
        <v>340</v>
      </c>
      <c r="F106" s="9">
        <f t="shared" si="1"/>
        <v>340</v>
      </c>
      <c r="H106" s="10">
        <v>0</v>
      </c>
      <c r="I106" s="10">
        <v>0</v>
      </c>
      <c r="J106" s="10">
        <v>96.56</v>
      </c>
      <c r="K106" s="10">
        <v>96.56</v>
      </c>
      <c r="M106" s="10">
        <v>0</v>
      </c>
      <c r="N106" s="10">
        <v>137.09470999999999</v>
      </c>
      <c r="O106" s="10">
        <v>137.09470999999999</v>
      </c>
      <c r="Q106" s="10">
        <v>0</v>
      </c>
      <c r="R106" s="10">
        <v>1541.56</v>
      </c>
      <c r="S106" s="10">
        <v>1541.56</v>
      </c>
    </row>
    <row r="107" spans="1:19" x14ac:dyDescent="0.2">
      <c r="A107" s="9" t="s">
        <v>214</v>
      </c>
      <c r="B107" s="9" t="s">
        <v>215</v>
      </c>
      <c r="C107" s="9">
        <v>5</v>
      </c>
      <c r="D107" s="9">
        <v>0</v>
      </c>
      <c r="E107" s="9">
        <v>30</v>
      </c>
      <c r="F107" s="9">
        <f t="shared" si="1"/>
        <v>35</v>
      </c>
      <c r="H107" s="10">
        <v>163.4</v>
      </c>
      <c r="I107" s="10">
        <v>0</v>
      </c>
      <c r="J107" s="10">
        <v>114.2</v>
      </c>
      <c r="K107" s="10">
        <v>126.5</v>
      </c>
      <c r="M107" s="10">
        <v>87.212389999999999</v>
      </c>
      <c r="N107" s="10">
        <v>61.788519999999998</v>
      </c>
      <c r="O107" s="10">
        <v>68.144490000000005</v>
      </c>
      <c r="Q107" s="10">
        <v>723.39</v>
      </c>
      <c r="R107" s="10">
        <v>626.26</v>
      </c>
      <c r="S107" s="10">
        <v>650.54</v>
      </c>
    </row>
    <row r="108" spans="1:19" x14ac:dyDescent="0.2">
      <c r="A108" s="9" t="s">
        <v>216</v>
      </c>
      <c r="B108" s="9" t="s">
        <v>217</v>
      </c>
      <c r="C108" s="9">
        <v>12</v>
      </c>
      <c r="D108" s="9">
        <v>0</v>
      </c>
      <c r="E108" s="9">
        <v>16</v>
      </c>
      <c r="F108" s="9">
        <f t="shared" si="1"/>
        <v>28</v>
      </c>
      <c r="H108" s="10">
        <v>107</v>
      </c>
      <c r="I108" s="10">
        <v>0</v>
      </c>
      <c r="J108" s="10">
        <v>115.75</v>
      </c>
      <c r="K108" s="10">
        <v>112.19</v>
      </c>
      <c r="M108" s="10">
        <v>123.68182</v>
      </c>
      <c r="N108" s="10">
        <v>156.56413000000001</v>
      </c>
      <c r="O108" s="10">
        <v>143.16763</v>
      </c>
      <c r="Q108" s="10">
        <v>1126.1199999999999</v>
      </c>
      <c r="R108" s="10">
        <v>1359.43</v>
      </c>
      <c r="S108" s="10">
        <v>1264.3800000000001</v>
      </c>
    </row>
    <row r="109" spans="1:19" x14ac:dyDescent="0.2">
      <c r="A109" s="9" t="s">
        <v>218</v>
      </c>
      <c r="B109" s="9" t="s">
        <v>219</v>
      </c>
      <c r="C109" s="9">
        <v>8</v>
      </c>
      <c r="D109" s="9">
        <v>0</v>
      </c>
      <c r="E109" s="9">
        <v>23</v>
      </c>
      <c r="F109" s="9">
        <f t="shared" si="1"/>
        <v>31</v>
      </c>
      <c r="H109" s="10">
        <v>83.86</v>
      </c>
      <c r="I109" s="10">
        <v>0</v>
      </c>
      <c r="J109" s="10">
        <v>102.19</v>
      </c>
      <c r="K109" s="10">
        <v>97.61</v>
      </c>
      <c r="M109" s="10">
        <v>78.542860000000005</v>
      </c>
      <c r="N109" s="10">
        <v>88.895759999999996</v>
      </c>
      <c r="O109" s="10">
        <v>86.30753</v>
      </c>
      <c r="Q109" s="10">
        <v>888.59</v>
      </c>
      <c r="R109" s="10">
        <v>885.58</v>
      </c>
      <c r="S109" s="10">
        <v>886.33</v>
      </c>
    </row>
    <row r="110" spans="1:19" x14ac:dyDescent="0.2">
      <c r="A110" s="9" t="s">
        <v>220</v>
      </c>
      <c r="B110" s="9" t="s">
        <v>221</v>
      </c>
      <c r="C110" s="9">
        <v>0</v>
      </c>
      <c r="D110" s="9">
        <v>0</v>
      </c>
      <c r="E110" s="9">
        <v>197</v>
      </c>
      <c r="F110" s="9">
        <f t="shared" si="1"/>
        <v>197</v>
      </c>
      <c r="H110" s="10">
        <v>0</v>
      </c>
      <c r="I110" s="10">
        <v>0</v>
      </c>
      <c r="J110" s="10">
        <v>93.49</v>
      </c>
      <c r="K110" s="10">
        <v>93.49</v>
      </c>
      <c r="M110" s="10">
        <v>0</v>
      </c>
      <c r="N110" s="10">
        <v>145.21407000000002</v>
      </c>
      <c r="O110" s="10">
        <v>145.21407000000002</v>
      </c>
      <c r="Q110" s="10">
        <v>0</v>
      </c>
      <c r="R110" s="10">
        <v>1654.62</v>
      </c>
      <c r="S110" s="10">
        <v>1654.62</v>
      </c>
    </row>
    <row r="111" spans="1:19" x14ac:dyDescent="0.2">
      <c r="A111" s="9" t="s">
        <v>222</v>
      </c>
      <c r="B111" s="9" t="s">
        <v>223</v>
      </c>
      <c r="C111" s="9">
        <v>51</v>
      </c>
      <c r="D111" s="9">
        <v>9</v>
      </c>
      <c r="E111" s="9">
        <v>147</v>
      </c>
      <c r="F111" s="9">
        <f t="shared" si="1"/>
        <v>207</v>
      </c>
      <c r="H111" s="10">
        <v>108.65</v>
      </c>
      <c r="I111" s="10">
        <v>85.75</v>
      </c>
      <c r="J111" s="10">
        <v>98.91</v>
      </c>
      <c r="K111" s="10">
        <v>100.68</v>
      </c>
      <c r="M111" s="10">
        <v>137.45491000000001</v>
      </c>
      <c r="N111" s="10">
        <v>119.27857</v>
      </c>
      <c r="O111" s="10">
        <v>124.40809</v>
      </c>
      <c r="Q111" s="10">
        <v>1378.36</v>
      </c>
      <c r="R111" s="10">
        <v>1258.1500000000001</v>
      </c>
      <c r="S111" s="10">
        <v>1292.07</v>
      </c>
    </row>
    <row r="112" spans="1:19" x14ac:dyDescent="0.2">
      <c r="A112" s="9" t="s">
        <v>224</v>
      </c>
      <c r="B112" s="9" t="s">
        <v>225</v>
      </c>
      <c r="C112" s="9">
        <v>15</v>
      </c>
      <c r="D112" s="9">
        <v>0</v>
      </c>
      <c r="E112" s="9">
        <v>71</v>
      </c>
      <c r="F112" s="9">
        <f t="shared" si="1"/>
        <v>86</v>
      </c>
      <c r="H112" s="10">
        <v>86</v>
      </c>
      <c r="I112" s="10">
        <v>0</v>
      </c>
      <c r="J112" s="10">
        <v>115.22</v>
      </c>
      <c r="K112" s="10">
        <v>110.35</v>
      </c>
      <c r="M112" s="10">
        <v>102.74462</v>
      </c>
      <c r="N112" s="10">
        <v>144.99816000000001</v>
      </c>
      <c r="O112" s="10">
        <v>137.77058</v>
      </c>
      <c r="Q112" s="10">
        <v>1357.42</v>
      </c>
      <c r="R112" s="10">
        <v>1393.83</v>
      </c>
      <c r="S112" s="10">
        <v>1387.6</v>
      </c>
    </row>
    <row r="113" spans="1:19" x14ac:dyDescent="0.2">
      <c r="A113" s="9" t="s">
        <v>226</v>
      </c>
      <c r="B113" s="9" t="s">
        <v>227</v>
      </c>
      <c r="C113" s="9">
        <v>48</v>
      </c>
      <c r="D113" s="9">
        <v>0</v>
      </c>
      <c r="E113" s="9">
        <v>253</v>
      </c>
      <c r="F113" s="9">
        <f t="shared" si="1"/>
        <v>301</v>
      </c>
      <c r="H113" s="10">
        <v>106.17</v>
      </c>
      <c r="I113" s="10">
        <v>0</v>
      </c>
      <c r="J113" s="10">
        <v>97.57</v>
      </c>
      <c r="K113" s="10">
        <v>99.09</v>
      </c>
      <c r="M113" s="10">
        <v>354.3519</v>
      </c>
      <c r="N113" s="10">
        <v>210.37486999999999</v>
      </c>
      <c r="O113" s="10">
        <v>236.34720000000002</v>
      </c>
      <c r="Q113" s="10">
        <v>3254.73</v>
      </c>
      <c r="R113" s="10">
        <v>2107.25</v>
      </c>
      <c r="S113" s="10">
        <v>2314.25</v>
      </c>
    </row>
    <row r="114" spans="1:19" x14ac:dyDescent="0.2">
      <c r="A114" s="9" t="s">
        <v>228</v>
      </c>
      <c r="B114" s="9" t="s">
        <v>229</v>
      </c>
      <c r="C114" s="9">
        <v>135</v>
      </c>
      <c r="D114" s="9">
        <v>1</v>
      </c>
      <c r="E114" s="9">
        <v>164</v>
      </c>
      <c r="F114" s="9">
        <f t="shared" si="1"/>
        <v>300</v>
      </c>
      <c r="H114" s="10">
        <v>84.84</v>
      </c>
      <c r="I114" s="10">
        <v>79</v>
      </c>
      <c r="J114" s="10">
        <v>81.64</v>
      </c>
      <c r="K114" s="10">
        <v>83.07</v>
      </c>
      <c r="M114" s="10">
        <v>216.351</v>
      </c>
      <c r="N114" s="10">
        <v>143.31645999999998</v>
      </c>
      <c r="O114" s="10">
        <v>176.32495</v>
      </c>
      <c r="Q114" s="10">
        <v>2544.5</v>
      </c>
      <c r="R114" s="10">
        <v>1928.08</v>
      </c>
      <c r="S114" s="10">
        <v>2206.6799999999998</v>
      </c>
    </row>
    <row r="115" spans="1:19" x14ac:dyDescent="0.2">
      <c r="A115" s="9" t="s">
        <v>230</v>
      </c>
      <c r="B115" s="9" t="s">
        <v>231</v>
      </c>
      <c r="C115" s="9">
        <v>4</v>
      </c>
      <c r="D115" s="9">
        <v>0</v>
      </c>
      <c r="E115" s="9">
        <v>75</v>
      </c>
      <c r="F115" s="9">
        <f t="shared" si="1"/>
        <v>79</v>
      </c>
      <c r="H115" s="10">
        <v>173</v>
      </c>
      <c r="I115" s="10">
        <v>0</v>
      </c>
      <c r="J115" s="10">
        <v>125.28</v>
      </c>
      <c r="K115" s="10">
        <v>127.21</v>
      </c>
      <c r="M115" s="10">
        <v>264.66667000000001</v>
      </c>
      <c r="N115" s="10">
        <v>226.8202</v>
      </c>
      <c r="O115" s="10">
        <v>228.35451999999998</v>
      </c>
      <c r="Q115" s="10">
        <v>1587.28</v>
      </c>
      <c r="R115" s="10">
        <v>2031.27</v>
      </c>
      <c r="S115" s="10">
        <v>2013.27</v>
      </c>
    </row>
    <row r="116" spans="1:19" x14ac:dyDescent="0.2">
      <c r="A116" s="9" t="s">
        <v>232</v>
      </c>
      <c r="B116" s="9" t="s">
        <v>233</v>
      </c>
      <c r="C116" s="9">
        <v>30</v>
      </c>
      <c r="D116" s="9">
        <v>0</v>
      </c>
      <c r="E116" s="9">
        <v>78</v>
      </c>
      <c r="F116" s="9">
        <f t="shared" si="1"/>
        <v>108</v>
      </c>
      <c r="H116" s="10">
        <v>117.86</v>
      </c>
      <c r="I116" s="10">
        <v>0</v>
      </c>
      <c r="J116" s="10">
        <v>116.81</v>
      </c>
      <c r="K116" s="10">
        <v>117.14</v>
      </c>
      <c r="M116" s="10">
        <v>222.30932000000001</v>
      </c>
      <c r="N116" s="10">
        <v>224.25433999999998</v>
      </c>
      <c r="O116" s="10">
        <v>223.64242000000002</v>
      </c>
      <c r="Q116" s="10">
        <v>2141.08</v>
      </c>
      <c r="R116" s="10">
        <v>2131.2199999999998</v>
      </c>
      <c r="S116" s="10">
        <v>2134.3200000000002</v>
      </c>
    </row>
    <row r="117" spans="1:19" x14ac:dyDescent="0.2">
      <c r="A117" s="9" t="s">
        <v>234</v>
      </c>
      <c r="B117" s="9" t="s">
        <v>235</v>
      </c>
      <c r="C117" s="9">
        <v>23</v>
      </c>
      <c r="D117" s="9">
        <v>0</v>
      </c>
      <c r="E117" s="9">
        <v>115</v>
      </c>
      <c r="F117" s="9">
        <f t="shared" si="1"/>
        <v>138</v>
      </c>
      <c r="H117" s="10">
        <v>107.37</v>
      </c>
      <c r="I117" s="10">
        <v>0</v>
      </c>
      <c r="J117" s="10">
        <v>91.9</v>
      </c>
      <c r="K117" s="10">
        <v>94.52</v>
      </c>
      <c r="M117" s="10">
        <v>174.51194000000001</v>
      </c>
      <c r="N117" s="10">
        <v>176.89136999999999</v>
      </c>
      <c r="O117" s="10">
        <v>176.47277</v>
      </c>
      <c r="Q117" s="10">
        <v>1731.81</v>
      </c>
      <c r="R117" s="10">
        <v>2120.0700000000002</v>
      </c>
      <c r="S117" s="10">
        <v>2051.7600000000002</v>
      </c>
    </row>
    <row r="118" spans="1:19" x14ac:dyDescent="0.2">
      <c r="A118" s="9" t="s">
        <v>236</v>
      </c>
      <c r="B118" s="9" t="s">
        <v>237</v>
      </c>
      <c r="C118" s="9">
        <v>17</v>
      </c>
      <c r="D118" s="9">
        <v>0</v>
      </c>
      <c r="E118" s="9">
        <v>134</v>
      </c>
      <c r="F118" s="9">
        <f t="shared" si="1"/>
        <v>151</v>
      </c>
      <c r="H118" s="10">
        <v>102.57</v>
      </c>
      <c r="I118" s="10">
        <v>0</v>
      </c>
      <c r="J118" s="10">
        <v>117.55</v>
      </c>
      <c r="K118" s="10">
        <v>116</v>
      </c>
      <c r="M118" s="10">
        <v>98.158140000000003</v>
      </c>
      <c r="N118" s="10">
        <v>120.66695</v>
      </c>
      <c r="O118" s="10">
        <v>118.2976</v>
      </c>
      <c r="Q118" s="10">
        <v>1109.04</v>
      </c>
      <c r="R118" s="10">
        <v>1164.56</v>
      </c>
      <c r="S118" s="10">
        <v>1158.72</v>
      </c>
    </row>
    <row r="119" spans="1:19" x14ac:dyDescent="0.2">
      <c r="A119" s="9" t="s">
        <v>238</v>
      </c>
      <c r="B119" s="9" t="s">
        <v>239</v>
      </c>
      <c r="C119" s="9">
        <v>61</v>
      </c>
      <c r="D119" s="9">
        <v>1</v>
      </c>
      <c r="E119" s="9">
        <v>294</v>
      </c>
      <c r="F119" s="9">
        <f t="shared" si="1"/>
        <v>356</v>
      </c>
      <c r="H119" s="10">
        <v>79.58</v>
      </c>
      <c r="I119" s="10">
        <v>84</v>
      </c>
      <c r="J119" s="10">
        <v>78.709999999999994</v>
      </c>
      <c r="K119" s="10">
        <v>78.88</v>
      </c>
      <c r="M119" s="10">
        <v>122.02082</v>
      </c>
      <c r="N119" s="10">
        <v>121.73107</v>
      </c>
      <c r="O119" s="10">
        <v>121.78382999999999</v>
      </c>
      <c r="Q119" s="10">
        <v>1570.83</v>
      </c>
      <c r="R119" s="10">
        <v>1661.5</v>
      </c>
      <c r="S119" s="10">
        <v>1644.99</v>
      </c>
    </row>
    <row r="120" spans="1:19" x14ac:dyDescent="0.2">
      <c r="A120" s="9" t="s">
        <v>240</v>
      </c>
      <c r="B120" s="9" t="s">
        <v>241</v>
      </c>
      <c r="C120" s="9">
        <v>14</v>
      </c>
      <c r="D120" s="9">
        <v>3</v>
      </c>
      <c r="E120" s="9">
        <v>82</v>
      </c>
      <c r="F120" s="9">
        <f t="shared" si="1"/>
        <v>99</v>
      </c>
      <c r="H120" s="10">
        <v>95.08</v>
      </c>
      <c r="I120" s="10">
        <v>84.67</v>
      </c>
      <c r="J120" s="10">
        <v>88.48</v>
      </c>
      <c r="K120" s="10">
        <v>89.22</v>
      </c>
      <c r="M120" s="10">
        <v>168.26635999999999</v>
      </c>
      <c r="N120" s="10">
        <v>158.10964000000001</v>
      </c>
      <c r="O120" s="10">
        <v>159.52686</v>
      </c>
      <c r="Q120" s="10">
        <v>1939.47</v>
      </c>
      <c r="R120" s="10">
        <v>1878.02</v>
      </c>
      <c r="S120" s="10">
        <v>1886.59</v>
      </c>
    </row>
    <row r="121" spans="1:19" x14ac:dyDescent="0.2">
      <c r="A121" s="9" t="s">
        <v>242</v>
      </c>
      <c r="B121" s="9" t="s">
        <v>243</v>
      </c>
      <c r="C121" s="9">
        <v>38</v>
      </c>
      <c r="D121" s="9">
        <v>0</v>
      </c>
      <c r="E121" s="9">
        <v>332</v>
      </c>
      <c r="F121" s="9">
        <f t="shared" si="1"/>
        <v>370</v>
      </c>
      <c r="H121" s="10">
        <v>90.3</v>
      </c>
      <c r="I121" s="10">
        <v>0</v>
      </c>
      <c r="J121" s="10">
        <v>75.510000000000005</v>
      </c>
      <c r="K121" s="10">
        <v>77.17</v>
      </c>
      <c r="M121" s="10">
        <v>263.25734999999997</v>
      </c>
      <c r="N121" s="10">
        <v>181.61722</v>
      </c>
      <c r="O121" s="10">
        <v>191.08645000000001</v>
      </c>
      <c r="Q121" s="10">
        <v>2949.66</v>
      </c>
      <c r="R121" s="10">
        <v>2480.91</v>
      </c>
      <c r="S121" s="10">
        <v>2535.2800000000002</v>
      </c>
    </row>
    <row r="122" spans="1:19" x14ac:dyDescent="0.2">
      <c r="A122" s="9" t="s">
        <v>244</v>
      </c>
      <c r="B122" s="9" t="s">
        <v>245</v>
      </c>
      <c r="C122" s="9">
        <v>2</v>
      </c>
      <c r="D122" s="9">
        <v>0</v>
      </c>
      <c r="E122" s="9">
        <v>105</v>
      </c>
      <c r="F122" s="9">
        <f t="shared" si="1"/>
        <v>107</v>
      </c>
      <c r="H122" s="10">
        <v>345.5</v>
      </c>
      <c r="I122" s="10">
        <v>0</v>
      </c>
      <c r="J122" s="10">
        <v>181.69</v>
      </c>
      <c r="K122" s="10">
        <v>185.07</v>
      </c>
      <c r="M122" s="10">
        <v>0</v>
      </c>
      <c r="N122" s="10">
        <v>409.78821000000005</v>
      </c>
      <c r="O122" s="10">
        <v>417.49660999999998</v>
      </c>
      <c r="Q122" s="10">
        <v>0</v>
      </c>
      <c r="R122" s="10">
        <v>2604.31</v>
      </c>
      <c r="S122" s="10">
        <v>2597.1999999999998</v>
      </c>
    </row>
    <row r="123" spans="1:19" x14ac:dyDescent="0.2">
      <c r="A123" s="9" t="s">
        <v>246</v>
      </c>
      <c r="B123" s="9" t="s">
        <v>247</v>
      </c>
      <c r="C123" s="9">
        <v>7</v>
      </c>
      <c r="D123" s="9">
        <v>0</v>
      </c>
      <c r="E123" s="9">
        <v>211</v>
      </c>
      <c r="F123" s="9">
        <f t="shared" si="1"/>
        <v>218</v>
      </c>
      <c r="H123" s="10">
        <v>112.4</v>
      </c>
      <c r="I123" s="10">
        <v>0</v>
      </c>
      <c r="J123" s="10">
        <v>100.88</v>
      </c>
      <c r="K123" s="10">
        <v>101.17</v>
      </c>
      <c r="M123" s="10">
        <v>305.48690000000005</v>
      </c>
      <c r="N123" s="10">
        <v>262.59152</v>
      </c>
      <c r="O123" s="10">
        <v>263.68579</v>
      </c>
      <c r="Q123" s="10">
        <v>2784.82</v>
      </c>
      <c r="R123" s="10">
        <v>2741.51</v>
      </c>
      <c r="S123" s="10">
        <v>2742.61</v>
      </c>
    </row>
    <row r="124" spans="1:19" x14ac:dyDescent="0.2">
      <c r="A124" s="9" t="s">
        <v>248</v>
      </c>
      <c r="B124" s="9" t="s">
        <v>249</v>
      </c>
      <c r="C124" s="9">
        <v>5</v>
      </c>
      <c r="D124" s="9">
        <v>0</v>
      </c>
      <c r="E124" s="9">
        <v>66</v>
      </c>
      <c r="F124" s="9">
        <f t="shared" si="1"/>
        <v>71</v>
      </c>
      <c r="H124" s="10">
        <v>155.4</v>
      </c>
      <c r="I124" s="10">
        <v>0</v>
      </c>
      <c r="J124" s="10">
        <v>97.53</v>
      </c>
      <c r="K124" s="10">
        <v>101.98</v>
      </c>
      <c r="M124" s="10">
        <v>278.39999999999998</v>
      </c>
      <c r="N124" s="10">
        <v>178.91314000000003</v>
      </c>
      <c r="O124" s="10">
        <v>186.68554999999998</v>
      </c>
      <c r="Q124" s="10">
        <v>1743.51</v>
      </c>
      <c r="R124" s="10">
        <v>1817.39</v>
      </c>
      <c r="S124" s="10">
        <v>1811.62</v>
      </c>
    </row>
    <row r="125" spans="1:19" x14ac:dyDescent="0.2">
      <c r="A125" s="9" t="s">
        <v>250</v>
      </c>
      <c r="B125" s="9" t="s">
        <v>251</v>
      </c>
      <c r="C125" s="9">
        <v>60</v>
      </c>
      <c r="D125" s="9">
        <v>24</v>
      </c>
      <c r="E125" s="9">
        <v>892</v>
      </c>
      <c r="F125" s="9">
        <f t="shared" si="1"/>
        <v>976</v>
      </c>
      <c r="H125" s="10">
        <v>115.71</v>
      </c>
      <c r="I125" s="10">
        <v>76.17</v>
      </c>
      <c r="J125" s="10">
        <v>83.43</v>
      </c>
      <c r="K125" s="10">
        <v>85.35</v>
      </c>
      <c r="M125" s="10">
        <v>139.84878</v>
      </c>
      <c r="N125" s="10">
        <v>93.41189</v>
      </c>
      <c r="O125" s="10">
        <v>96.858380000000011</v>
      </c>
      <c r="Q125" s="10">
        <v>1152.49</v>
      </c>
      <c r="R125" s="10">
        <v>1086.47</v>
      </c>
      <c r="S125" s="10">
        <v>1091.3699999999999</v>
      </c>
    </row>
    <row r="126" spans="1:19" x14ac:dyDescent="0.2">
      <c r="A126" s="9" t="s">
        <v>252</v>
      </c>
      <c r="B126" s="9" t="s">
        <v>253</v>
      </c>
      <c r="C126" s="9">
        <v>11</v>
      </c>
      <c r="D126" s="9">
        <v>0</v>
      </c>
      <c r="E126" s="9">
        <v>46</v>
      </c>
      <c r="F126" s="9">
        <f t="shared" si="1"/>
        <v>57</v>
      </c>
      <c r="H126" s="10">
        <v>58.38</v>
      </c>
      <c r="I126" s="10">
        <v>0</v>
      </c>
      <c r="J126" s="10">
        <v>84.76</v>
      </c>
      <c r="K126" s="10">
        <v>80.069999999999993</v>
      </c>
      <c r="M126" s="10">
        <v>70.875</v>
      </c>
      <c r="N126" s="10">
        <v>110.53948</v>
      </c>
      <c r="O126" s="10">
        <v>103.48802000000001</v>
      </c>
      <c r="Q126" s="10">
        <v>1174.24</v>
      </c>
      <c r="R126" s="10">
        <v>1467.17</v>
      </c>
      <c r="S126" s="10">
        <v>1415.09</v>
      </c>
    </row>
    <row r="127" spans="1:19" x14ac:dyDescent="0.2">
      <c r="A127" s="9" t="s">
        <v>254</v>
      </c>
      <c r="B127" s="9" t="s">
        <v>255</v>
      </c>
      <c r="C127" s="9">
        <v>17</v>
      </c>
      <c r="D127" s="9">
        <v>1</v>
      </c>
      <c r="E127" s="9">
        <v>259</v>
      </c>
      <c r="F127" s="9">
        <f t="shared" si="1"/>
        <v>277</v>
      </c>
      <c r="H127" s="10">
        <v>90.5</v>
      </c>
      <c r="I127" s="10">
        <v>85</v>
      </c>
      <c r="J127" s="10">
        <v>78.52</v>
      </c>
      <c r="K127" s="10">
        <v>79.260000000000005</v>
      </c>
      <c r="M127" s="10">
        <v>194.17920999999998</v>
      </c>
      <c r="N127" s="10">
        <v>195.27767</v>
      </c>
      <c r="O127" s="10">
        <v>195.20981</v>
      </c>
      <c r="Q127" s="10">
        <v>2333.2600000000002</v>
      </c>
      <c r="R127" s="10">
        <v>2440.8200000000002</v>
      </c>
      <c r="S127" s="10">
        <v>2434.1799999999998</v>
      </c>
    </row>
    <row r="128" spans="1:19" x14ac:dyDescent="0.2">
      <c r="A128" s="9" t="s">
        <v>256</v>
      </c>
      <c r="B128" s="9" t="s">
        <v>257</v>
      </c>
      <c r="C128" s="9">
        <v>12</v>
      </c>
      <c r="D128" s="9">
        <v>0</v>
      </c>
      <c r="E128" s="9">
        <v>26</v>
      </c>
      <c r="F128" s="9">
        <f t="shared" si="1"/>
        <v>38</v>
      </c>
      <c r="H128" s="10">
        <v>126.71</v>
      </c>
      <c r="I128" s="10">
        <v>0</v>
      </c>
      <c r="J128" s="10">
        <v>96.24</v>
      </c>
      <c r="K128" s="10">
        <v>102.91</v>
      </c>
      <c r="M128" s="10">
        <v>86.171429999999987</v>
      </c>
      <c r="N128" s="10">
        <v>120.19738000000001</v>
      </c>
      <c r="O128" s="10">
        <v>111.69089</v>
      </c>
      <c r="Q128" s="10">
        <v>786.72</v>
      </c>
      <c r="R128" s="10">
        <v>1238.3900000000001</v>
      </c>
      <c r="S128" s="10">
        <v>1125.47</v>
      </c>
    </row>
    <row r="129" spans="1:19" x14ac:dyDescent="0.2">
      <c r="A129" s="9" t="s">
        <v>258</v>
      </c>
      <c r="B129" s="9" t="s">
        <v>259</v>
      </c>
      <c r="C129" s="9">
        <v>10</v>
      </c>
      <c r="D129" s="9">
        <v>0</v>
      </c>
      <c r="E129" s="9">
        <v>87</v>
      </c>
      <c r="F129" s="9">
        <f t="shared" si="1"/>
        <v>97</v>
      </c>
      <c r="H129" s="10">
        <v>155</v>
      </c>
      <c r="I129" s="10">
        <v>0</v>
      </c>
      <c r="J129" s="10">
        <v>137.61000000000001</v>
      </c>
      <c r="K129" s="10">
        <v>139.43</v>
      </c>
      <c r="M129" s="10">
        <v>196.30254000000002</v>
      </c>
      <c r="N129" s="10">
        <v>247.85079999999999</v>
      </c>
      <c r="O129" s="10">
        <v>242.39275000000001</v>
      </c>
      <c r="Q129" s="10">
        <v>1298.58</v>
      </c>
      <c r="R129" s="10">
        <v>1938.15</v>
      </c>
      <c r="S129" s="10">
        <v>1870.43</v>
      </c>
    </row>
    <row r="130" spans="1:19" x14ac:dyDescent="0.2">
      <c r="A130" s="9" t="s">
        <v>260</v>
      </c>
      <c r="B130" s="9" t="s">
        <v>261</v>
      </c>
      <c r="C130" s="9">
        <v>21</v>
      </c>
      <c r="D130" s="9">
        <v>0</v>
      </c>
      <c r="E130" s="9">
        <v>76</v>
      </c>
      <c r="F130" s="9">
        <f t="shared" si="1"/>
        <v>97</v>
      </c>
      <c r="H130" s="10">
        <v>118.19</v>
      </c>
      <c r="I130" s="10">
        <v>0</v>
      </c>
      <c r="J130" s="10">
        <v>96.67</v>
      </c>
      <c r="K130" s="10">
        <v>101.53</v>
      </c>
      <c r="M130" s="10">
        <v>111.10519000000001</v>
      </c>
      <c r="N130" s="10">
        <v>121.98804</v>
      </c>
      <c r="O130" s="10">
        <v>119.47660999999999</v>
      </c>
      <c r="Q130" s="10">
        <v>1067.01</v>
      </c>
      <c r="R130" s="10">
        <v>1391.42</v>
      </c>
      <c r="S130" s="10">
        <v>1316.56</v>
      </c>
    </row>
    <row r="131" spans="1:19" x14ac:dyDescent="0.2">
      <c r="A131" s="9" t="s">
        <v>262</v>
      </c>
      <c r="B131" s="9" t="s">
        <v>263</v>
      </c>
      <c r="C131" s="9">
        <v>1</v>
      </c>
      <c r="D131" s="9">
        <v>0</v>
      </c>
      <c r="E131" s="9">
        <v>76</v>
      </c>
      <c r="F131" s="9">
        <f t="shared" si="1"/>
        <v>77</v>
      </c>
      <c r="H131" s="10">
        <v>0</v>
      </c>
      <c r="I131" s="10">
        <v>0</v>
      </c>
      <c r="J131" s="10">
        <v>91.76</v>
      </c>
      <c r="K131" s="10">
        <v>91.76</v>
      </c>
      <c r="M131" s="10">
        <v>0</v>
      </c>
      <c r="N131" s="10">
        <v>84.477519999999998</v>
      </c>
      <c r="O131" s="10">
        <v>84.477519999999998</v>
      </c>
      <c r="Q131" s="10">
        <v>0</v>
      </c>
      <c r="R131" s="10">
        <v>960.86</v>
      </c>
      <c r="S131" s="10">
        <v>960.86</v>
      </c>
    </row>
    <row r="132" spans="1:19" x14ac:dyDescent="0.2">
      <c r="A132" s="9" t="s">
        <v>264</v>
      </c>
      <c r="B132" s="9" t="s">
        <v>265</v>
      </c>
      <c r="C132" s="9">
        <v>0</v>
      </c>
      <c r="D132" s="9">
        <v>0</v>
      </c>
      <c r="E132" s="9">
        <v>36</v>
      </c>
      <c r="F132" s="9">
        <f t="shared" si="1"/>
        <v>36</v>
      </c>
      <c r="H132" s="10">
        <v>0</v>
      </c>
      <c r="I132" s="10">
        <v>0</v>
      </c>
      <c r="J132" s="10">
        <v>89.96</v>
      </c>
      <c r="K132" s="10">
        <v>89.96</v>
      </c>
      <c r="M132" s="10">
        <v>0</v>
      </c>
      <c r="N132" s="10">
        <v>72.300380000000004</v>
      </c>
      <c r="O132" s="10">
        <v>72.300380000000004</v>
      </c>
      <c r="Q132" s="10">
        <v>0</v>
      </c>
      <c r="R132" s="10">
        <v>780.85</v>
      </c>
      <c r="S132" s="10">
        <v>780.85</v>
      </c>
    </row>
    <row r="133" spans="1:19" x14ac:dyDescent="0.2">
      <c r="A133" s="9" t="s">
        <v>266</v>
      </c>
      <c r="B133" s="9" t="s">
        <v>267</v>
      </c>
      <c r="C133" s="9">
        <v>8</v>
      </c>
      <c r="D133" s="9">
        <v>0</v>
      </c>
      <c r="E133" s="9">
        <v>572</v>
      </c>
      <c r="F133" s="9">
        <f t="shared" si="1"/>
        <v>580</v>
      </c>
      <c r="H133" s="10">
        <v>108.5</v>
      </c>
      <c r="I133" s="10">
        <v>0</v>
      </c>
      <c r="J133" s="10">
        <v>69.13</v>
      </c>
      <c r="K133" s="10">
        <v>69.75</v>
      </c>
      <c r="M133" s="10">
        <v>338.75</v>
      </c>
      <c r="N133" s="10">
        <v>153.53147000000001</v>
      </c>
      <c r="O133" s="10">
        <v>156.47145</v>
      </c>
      <c r="Q133" s="10">
        <v>3059.33</v>
      </c>
      <c r="R133" s="10">
        <v>2314.09</v>
      </c>
      <c r="S133" s="10">
        <v>2325.92</v>
      </c>
    </row>
    <row r="134" spans="1:19" x14ac:dyDescent="0.2">
      <c r="A134" s="9" t="s">
        <v>268</v>
      </c>
      <c r="B134" s="9" t="s">
        <v>269</v>
      </c>
      <c r="C134" s="9">
        <v>100</v>
      </c>
      <c r="D134" s="9">
        <v>1</v>
      </c>
      <c r="E134" s="9">
        <v>529</v>
      </c>
      <c r="F134" s="9">
        <f t="shared" si="1"/>
        <v>630</v>
      </c>
      <c r="H134" s="10">
        <v>106.13</v>
      </c>
      <c r="I134" s="10">
        <v>0</v>
      </c>
      <c r="J134" s="10">
        <v>95.79</v>
      </c>
      <c r="K134" s="10">
        <v>97.43</v>
      </c>
      <c r="M134" s="10">
        <v>195.46657999999999</v>
      </c>
      <c r="N134" s="10">
        <v>165.02758</v>
      </c>
      <c r="O134" s="10">
        <v>170.10075000000001</v>
      </c>
      <c r="Q134" s="10">
        <v>2051.87</v>
      </c>
      <c r="R134" s="10">
        <v>1843.9</v>
      </c>
      <c r="S134" s="10">
        <v>1878.56</v>
      </c>
    </row>
    <row r="135" spans="1:19" x14ac:dyDescent="0.2">
      <c r="A135" s="9" t="s">
        <v>270</v>
      </c>
      <c r="B135" s="9" t="s">
        <v>271</v>
      </c>
      <c r="C135" s="9">
        <v>267</v>
      </c>
      <c r="D135" s="9">
        <v>28</v>
      </c>
      <c r="E135" s="9">
        <v>1420</v>
      </c>
      <c r="F135" s="9">
        <f t="shared" ref="F135:F198" si="2">SUM(C135:E135)</f>
        <v>1715</v>
      </c>
      <c r="H135" s="10">
        <v>95.1</v>
      </c>
      <c r="I135" s="10">
        <v>66.88</v>
      </c>
      <c r="J135" s="10">
        <v>92.57</v>
      </c>
      <c r="K135" s="10">
        <v>92.56</v>
      </c>
      <c r="M135" s="10">
        <v>193.53495000000001</v>
      </c>
      <c r="N135" s="10">
        <v>184.03092000000001</v>
      </c>
      <c r="O135" s="10">
        <v>185.67417</v>
      </c>
      <c r="Q135" s="10">
        <v>2103.11</v>
      </c>
      <c r="R135" s="10">
        <v>2023.13</v>
      </c>
      <c r="S135" s="10">
        <v>2036.96</v>
      </c>
    </row>
    <row r="136" spans="1:19" x14ac:dyDescent="0.2">
      <c r="A136" s="9" t="s">
        <v>272</v>
      </c>
      <c r="B136" s="9" t="s">
        <v>273</v>
      </c>
      <c r="C136" s="9">
        <v>8</v>
      </c>
      <c r="D136" s="9">
        <v>0</v>
      </c>
      <c r="E136" s="9">
        <v>28</v>
      </c>
      <c r="F136" s="9">
        <f t="shared" si="2"/>
        <v>36</v>
      </c>
      <c r="H136" s="10">
        <v>91.5</v>
      </c>
      <c r="I136" s="10">
        <v>0</v>
      </c>
      <c r="J136" s="10">
        <v>92.08</v>
      </c>
      <c r="K136" s="10">
        <v>91.93</v>
      </c>
      <c r="M136" s="10">
        <v>61.49006</v>
      </c>
      <c r="N136" s="10">
        <v>71.976160000000007</v>
      </c>
      <c r="O136" s="10">
        <v>69.270070000000004</v>
      </c>
      <c r="Q136" s="10">
        <v>644.23</v>
      </c>
      <c r="R136" s="10">
        <v>779.68</v>
      </c>
      <c r="S136" s="10">
        <v>744.73</v>
      </c>
    </row>
    <row r="137" spans="1:19" x14ac:dyDescent="0.2">
      <c r="A137" s="9" t="s">
        <v>274</v>
      </c>
      <c r="B137" s="9" t="s">
        <v>275</v>
      </c>
      <c r="C137" s="9">
        <v>61</v>
      </c>
      <c r="D137" s="9">
        <v>0</v>
      </c>
      <c r="E137" s="9">
        <v>604</v>
      </c>
      <c r="F137" s="9">
        <f t="shared" si="2"/>
        <v>665</v>
      </c>
      <c r="H137" s="10">
        <v>65.849999999999994</v>
      </c>
      <c r="I137" s="10">
        <v>0</v>
      </c>
      <c r="J137" s="10">
        <v>58.51</v>
      </c>
      <c r="K137" s="10">
        <v>59.2</v>
      </c>
      <c r="M137" s="10">
        <v>114.46291000000001</v>
      </c>
      <c r="N137" s="10">
        <v>103.93348</v>
      </c>
      <c r="O137" s="10">
        <v>104.93628</v>
      </c>
      <c r="Q137" s="10">
        <v>1792.68</v>
      </c>
      <c r="R137" s="10">
        <v>1830.05</v>
      </c>
      <c r="S137" s="10">
        <v>1826.49</v>
      </c>
    </row>
    <row r="138" spans="1:19" x14ac:dyDescent="0.2">
      <c r="A138" s="9" t="s">
        <v>276</v>
      </c>
      <c r="B138" s="9" t="s">
        <v>277</v>
      </c>
      <c r="C138" s="9">
        <v>28</v>
      </c>
      <c r="D138" s="9">
        <v>8</v>
      </c>
      <c r="E138" s="9">
        <v>214</v>
      </c>
      <c r="F138" s="9">
        <f t="shared" si="2"/>
        <v>250</v>
      </c>
      <c r="H138" s="10">
        <v>83.59</v>
      </c>
      <c r="I138" s="10">
        <v>70</v>
      </c>
      <c r="J138" s="10">
        <v>82.68</v>
      </c>
      <c r="K138" s="10">
        <v>82.46</v>
      </c>
      <c r="M138" s="10">
        <v>102.41538</v>
      </c>
      <c r="N138" s="10">
        <v>90.048820000000006</v>
      </c>
      <c r="O138" s="10">
        <v>91.886139999999997</v>
      </c>
      <c r="Q138" s="10">
        <v>1331.25</v>
      </c>
      <c r="R138" s="10">
        <v>1068.3900000000001</v>
      </c>
      <c r="S138" s="10">
        <v>1107.44</v>
      </c>
    </row>
    <row r="139" spans="1:19" x14ac:dyDescent="0.2">
      <c r="A139" s="9" t="s">
        <v>278</v>
      </c>
      <c r="B139" s="9" t="s">
        <v>279</v>
      </c>
      <c r="C139" s="9">
        <v>11</v>
      </c>
      <c r="D139" s="9">
        <v>0</v>
      </c>
      <c r="E139" s="9">
        <v>163</v>
      </c>
      <c r="F139" s="9">
        <f t="shared" si="2"/>
        <v>174</v>
      </c>
      <c r="H139" s="10">
        <v>77.55</v>
      </c>
      <c r="I139" s="10">
        <v>0</v>
      </c>
      <c r="J139" s="10">
        <v>79.13</v>
      </c>
      <c r="K139" s="10">
        <v>79.02</v>
      </c>
      <c r="M139" s="10">
        <v>235.52989000000002</v>
      </c>
      <c r="N139" s="10">
        <v>238.08195000000001</v>
      </c>
      <c r="O139" s="10">
        <v>237.72660000000002</v>
      </c>
      <c r="Q139" s="10">
        <v>3013.64</v>
      </c>
      <c r="R139" s="10">
        <v>2721.82</v>
      </c>
      <c r="S139" s="10">
        <v>2762.45</v>
      </c>
    </row>
    <row r="140" spans="1:19" x14ac:dyDescent="0.2">
      <c r="A140" s="9" t="s">
        <v>280</v>
      </c>
      <c r="B140" s="9" t="s">
        <v>281</v>
      </c>
      <c r="C140" s="9">
        <v>0</v>
      </c>
      <c r="D140" s="9">
        <v>0</v>
      </c>
      <c r="E140" s="9">
        <v>162</v>
      </c>
      <c r="F140" s="9">
        <f t="shared" si="2"/>
        <v>162</v>
      </c>
      <c r="H140" s="10">
        <v>0</v>
      </c>
      <c r="I140" s="10">
        <v>0</v>
      </c>
      <c r="J140" s="10">
        <v>89.97</v>
      </c>
      <c r="K140" s="10">
        <v>89.97</v>
      </c>
      <c r="M140" s="10">
        <v>0</v>
      </c>
      <c r="N140" s="10">
        <v>171.85554000000002</v>
      </c>
      <c r="O140" s="10">
        <v>171.85554000000002</v>
      </c>
      <c r="Q140" s="10">
        <v>0</v>
      </c>
      <c r="R140" s="10">
        <v>2013.92</v>
      </c>
      <c r="S140" s="10">
        <v>2013.92</v>
      </c>
    </row>
    <row r="141" spans="1:19" x14ac:dyDescent="0.2">
      <c r="A141" s="9" t="s">
        <v>282</v>
      </c>
      <c r="B141" s="9" t="s">
        <v>283</v>
      </c>
      <c r="C141" s="9">
        <v>41</v>
      </c>
      <c r="D141" s="9">
        <v>0</v>
      </c>
      <c r="E141" s="9">
        <v>99</v>
      </c>
      <c r="F141" s="9">
        <f t="shared" si="2"/>
        <v>140</v>
      </c>
      <c r="H141" s="10">
        <v>110.36</v>
      </c>
      <c r="I141" s="10">
        <v>0</v>
      </c>
      <c r="J141" s="10">
        <v>129.6</v>
      </c>
      <c r="K141" s="10">
        <v>122.02</v>
      </c>
      <c r="M141" s="10">
        <v>276.29412000000002</v>
      </c>
      <c r="N141" s="10">
        <v>324.48948999999999</v>
      </c>
      <c r="O141" s="10">
        <v>305.50344000000001</v>
      </c>
      <c r="Q141" s="10">
        <v>3450.01</v>
      </c>
      <c r="R141" s="10">
        <v>2676.03</v>
      </c>
      <c r="S141" s="10">
        <v>2980.93</v>
      </c>
    </row>
    <row r="142" spans="1:19" x14ac:dyDescent="0.2">
      <c r="A142" s="9" t="s">
        <v>284</v>
      </c>
      <c r="B142" s="9" t="s">
        <v>285</v>
      </c>
      <c r="C142" s="9">
        <v>2</v>
      </c>
      <c r="D142" s="9">
        <v>0</v>
      </c>
      <c r="E142" s="9">
        <v>45</v>
      </c>
      <c r="F142" s="9">
        <f t="shared" si="2"/>
        <v>47</v>
      </c>
      <c r="H142" s="10">
        <v>205</v>
      </c>
      <c r="I142" s="10">
        <v>0</v>
      </c>
      <c r="J142" s="10">
        <v>152.27000000000001</v>
      </c>
      <c r="K142" s="10">
        <v>154.72</v>
      </c>
      <c r="M142" s="10">
        <v>0</v>
      </c>
      <c r="N142" s="10">
        <v>212.28320000000002</v>
      </c>
      <c r="O142" s="10">
        <v>210.50781000000001</v>
      </c>
      <c r="Q142" s="10">
        <v>0</v>
      </c>
      <c r="R142" s="10">
        <v>1555.41</v>
      </c>
      <c r="S142" s="10">
        <v>1521.45</v>
      </c>
    </row>
    <row r="143" spans="1:19" x14ac:dyDescent="0.2">
      <c r="A143" s="9" t="s">
        <v>286</v>
      </c>
      <c r="B143" s="9" t="s">
        <v>287</v>
      </c>
      <c r="C143" s="9">
        <v>77</v>
      </c>
      <c r="D143" s="9">
        <v>0</v>
      </c>
      <c r="E143" s="9">
        <v>316</v>
      </c>
      <c r="F143" s="9">
        <f t="shared" si="2"/>
        <v>393</v>
      </c>
      <c r="H143" s="10">
        <v>86.1</v>
      </c>
      <c r="I143" s="10">
        <v>0</v>
      </c>
      <c r="J143" s="10">
        <v>76.599999999999994</v>
      </c>
      <c r="K143" s="10">
        <v>78.099999999999994</v>
      </c>
      <c r="M143" s="10">
        <v>231.02432999999999</v>
      </c>
      <c r="N143" s="10">
        <v>172.16476999999998</v>
      </c>
      <c r="O143" s="10">
        <v>182.00888</v>
      </c>
      <c r="Q143" s="10">
        <v>2753.34</v>
      </c>
      <c r="R143" s="10">
        <v>2309.7600000000002</v>
      </c>
      <c r="S143" s="10">
        <v>2383.9499999999998</v>
      </c>
    </row>
    <row r="144" spans="1:19" x14ac:dyDescent="0.2">
      <c r="A144" s="9" t="s">
        <v>288</v>
      </c>
      <c r="B144" s="9" t="s">
        <v>289</v>
      </c>
      <c r="C144" s="9">
        <v>1</v>
      </c>
      <c r="D144" s="9">
        <v>0</v>
      </c>
      <c r="E144" s="9">
        <v>181</v>
      </c>
      <c r="F144" s="9">
        <f t="shared" si="2"/>
        <v>182</v>
      </c>
      <c r="H144" s="10">
        <v>92</v>
      </c>
      <c r="I144" s="10">
        <v>0</v>
      </c>
      <c r="J144" s="10">
        <v>78.52</v>
      </c>
      <c r="K144" s="10">
        <v>78.599999999999994</v>
      </c>
      <c r="M144" s="10">
        <v>0</v>
      </c>
      <c r="N144" s="10">
        <v>71.237160000000003</v>
      </c>
      <c r="O144" s="10">
        <v>71.317179999999993</v>
      </c>
      <c r="Q144" s="10">
        <v>0</v>
      </c>
      <c r="R144" s="10">
        <v>921.73</v>
      </c>
      <c r="S144" s="10">
        <v>921.74</v>
      </c>
    </row>
    <row r="145" spans="1:19" x14ac:dyDescent="0.2">
      <c r="A145" s="9" t="s">
        <v>290</v>
      </c>
      <c r="B145" s="9" t="s">
        <v>291</v>
      </c>
      <c r="C145" s="9">
        <v>20</v>
      </c>
      <c r="D145" s="9">
        <v>0</v>
      </c>
      <c r="E145" s="9">
        <v>96</v>
      </c>
      <c r="F145" s="9">
        <f t="shared" si="2"/>
        <v>116</v>
      </c>
      <c r="H145" s="10">
        <v>102.94</v>
      </c>
      <c r="I145" s="10">
        <v>0</v>
      </c>
      <c r="J145" s="10">
        <v>112.4</v>
      </c>
      <c r="K145" s="10">
        <v>110.88</v>
      </c>
      <c r="M145" s="10">
        <v>161.78016</v>
      </c>
      <c r="N145" s="10">
        <v>129.81755000000001</v>
      </c>
      <c r="O145" s="10">
        <v>135.00067999999999</v>
      </c>
      <c r="Q145" s="10">
        <v>1619.15</v>
      </c>
      <c r="R145" s="10">
        <v>1303.46</v>
      </c>
      <c r="S145" s="10">
        <v>1354.65</v>
      </c>
    </row>
    <row r="146" spans="1:19" x14ac:dyDescent="0.2">
      <c r="A146" s="9" t="s">
        <v>292</v>
      </c>
      <c r="B146" s="9" t="s">
        <v>293</v>
      </c>
      <c r="C146" s="9">
        <v>310</v>
      </c>
      <c r="D146" s="9">
        <v>1</v>
      </c>
      <c r="E146" s="9">
        <v>650</v>
      </c>
      <c r="F146" s="9">
        <f t="shared" si="2"/>
        <v>961</v>
      </c>
      <c r="H146" s="10">
        <v>116.6</v>
      </c>
      <c r="I146" s="10">
        <v>110</v>
      </c>
      <c r="J146" s="10">
        <v>115.03</v>
      </c>
      <c r="K146" s="10">
        <v>115.58</v>
      </c>
      <c r="M146" s="10">
        <v>416.30826999999999</v>
      </c>
      <c r="N146" s="10">
        <v>391.96784000000002</v>
      </c>
      <c r="O146" s="10">
        <v>400.73412999999999</v>
      </c>
      <c r="Q146" s="10">
        <v>3831.96</v>
      </c>
      <c r="R146" s="10">
        <v>3603.61</v>
      </c>
      <c r="S146" s="10">
        <v>3685.85</v>
      </c>
    </row>
    <row r="147" spans="1:19" x14ac:dyDescent="0.2">
      <c r="A147" s="9" t="s">
        <v>294</v>
      </c>
      <c r="B147" s="9" t="s">
        <v>295</v>
      </c>
      <c r="C147" s="9">
        <v>0</v>
      </c>
      <c r="D147" s="9">
        <v>0</v>
      </c>
      <c r="E147" s="9">
        <v>81</v>
      </c>
      <c r="F147" s="9">
        <f t="shared" si="2"/>
        <v>81</v>
      </c>
      <c r="H147" s="10">
        <v>0</v>
      </c>
      <c r="I147" s="10">
        <v>0</v>
      </c>
      <c r="J147" s="10">
        <v>168.38</v>
      </c>
      <c r="K147" s="10">
        <v>168.38</v>
      </c>
      <c r="M147" s="10">
        <v>0</v>
      </c>
      <c r="N147" s="10">
        <v>196.20314000000002</v>
      </c>
      <c r="O147" s="10">
        <v>196.20314000000002</v>
      </c>
      <c r="Q147" s="10">
        <v>0</v>
      </c>
      <c r="R147" s="10">
        <v>1466.95</v>
      </c>
      <c r="S147" s="10">
        <v>1466.95</v>
      </c>
    </row>
    <row r="148" spans="1:19" x14ac:dyDescent="0.2">
      <c r="A148" s="9" t="s">
        <v>296</v>
      </c>
      <c r="B148" s="9" t="s">
        <v>297</v>
      </c>
      <c r="C148" s="9">
        <v>16</v>
      </c>
      <c r="D148" s="9">
        <v>0</v>
      </c>
      <c r="E148" s="9">
        <v>38</v>
      </c>
      <c r="F148" s="9">
        <f t="shared" si="2"/>
        <v>54</v>
      </c>
      <c r="H148" s="10">
        <v>78.13</v>
      </c>
      <c r="I148" s="10">
        <v>0</v>
      </c>
      <c r="J148" s="10">
        <v>141.91</v>
      </c>
      <c r="K148" s="10">
        <v>121.5</v>
      </c>
      <c r="M148" s="10">
        <v>93.90625</v>
      </c>
      <c r="N148" s="10">
        <v>148.55114</v>
      </c>
      <c r="O148" s="10">
        <v>131.06477999999998</v>
      </c>
      <c r="Q148" s="10">
        <v>1278.99</v>
      </c>
      <c r="R148" s="10">
        <v>1231.01</v>
      </c>
      <c r="S148" s="10">
        <v>1246.3599999999999</v>
      </c>
    </row>
    <row r="149" spans="1:19" x14ac:dyDescent="0.2">
      <c r="A149" s="9" t="s">
        <v>298</v>
      </c>
      <c r="B149" s="9" t="s">
        <v>299</v>
      </c>
      <c r="C149" s="9">
        <v>4</v>
      </c>
      <c r="D149" s="9">
        <v>0</v>
      </c>
      <c r="E149" s="9">
        <v>249</v>
      </c>
      <c r="F149" s="9">
        <f t="shared" si="2"/>
        <v>253</v>
      </c>
      <c r="H149" s="10">
        <v>141.33000000000001</v>
      </c>
      <c r="I149" s="10">
        <v>0</v>
      </c>
      <c r="J149" s="10">
        <v>93.71</v>
      </c>
      <c r="K149" s="10">
        <v>94.33</v>
      </c>
      <c r="M149" s="10">
        <v>301.86326000000003</v>
      </c>
      <c r="N149" s="10">
        <v>178.1711</v>
      </c>
      <c r="O149" s="10">
        <v>179.7637</v>
      </c>
      <c r="Q149" s="10">
        <v>2218.7600000000002</v>
      </c>
      <c r="R149" s="10">
        <v>1974.02</v>
      </c>
      <c r="S149" s="10">
        <v>1977.17</v>
      </c>
    </row>
    <row r="150" spans="1:19" x14ac:dyDescent="0.2">
      <c r="A150" s="9" t="s">
        <v>300</v>
      </c>
      <c r="B150" s="9" t="s">
        <v>301</v>
      </c>
      <c r="C150" s="9">
        <v>178</v>
      </c>
      <c r="D150" s="9">
        <v>11</v>
      </c>
      <c r="E150" s="9">
        <v>225</v>
      </c>
      <c r="F150" s="9">
        <f t="shared" si="2"/>
        <v>414</v>
      </c>
      <c r="H150" s="10">
        <v>101.69</v>
      </c>
      <c r="I150" s="10">
        <v>90.18</v>
      </c>
      <c r="J150" s="10">
        <v>86.38</v>
      </c>
      <c r="K150" s="10">
        <v>93.21</v>
      </c>
      <c r="M150" s="10">
        <v>292.05192999999997</v>
      </c>
      <c r="N150" s="10">
        <v>228.52082999999999</v>
      </c>
      <c r="O150" s="10">
        <v>257.58292999999998</v>
      </c>
      <c r="Q150" s="10">
        <v>2927.49</v>
      </c>
      <c r="R150" s="10">
        <v>2770.26</v>
      </c>
      <c r="S150" s="10">
        <v>2842.18</v>
      </c>
    </row>
    <row r="151" spans="1:19" x14ac:dyDescent="0.2">
      <c r="A151" s="9" t="s">
        <v>302</v>
      </c>
      <c r="B151" s="9" t="s">
        <v>303</v>
      </c>
      <c r="C151" s="9">
        <v>8</v>
      </c>
      <c r="D151" s="9">
        <v>0</v>
      </c>
      <c r="E151" s="9">
        <v>57</v>
      </c>
      <c r="F151" s="9">
        <f t="shared" si="2"/>
        <v>65</v>
      </c>
      <c r="H151" s="10">
        <v>143.86000000000001</v>
      </c>
      <c r="I151" s="10">
        <v>0</v>
      </c>
      <c r="J151" s="10">
        <v>181.02</v>
      </c>
      <c r="K151" s="10">
        <v>176.76</v>
      </c>
      <c r="M151" s="10">
        <v>201.71429000000001</v>
      </c>
      <c r="N151" s="10">
        <v>257.73286999999999</v>
      </c>
      <c r="O151" s="10">
        <v>251.30451000000002</v>
      </c>
      <c r="Q151" s="10">
        <v>1518.05</v>
      </c>
      <c r="R151" s="10">
        <v>1611.79</v>
      </c>
      <c r="S151" s="10">
        <v>1601.03</v>
      </c>
    </row>
    <row r="152" spans="1:19" x14ac:dyDescent="0.2">
      <c r="A152" s="9" t="s">
        <v>304</v>
      </c>
      <c r="B152" s="9" t="s">
        <v>305</v>
      </c>
      <c r="C152" s="9">
        <v>16</v>
      </c>
      <c r="D152" s="9">
        <v>12</v>
      </c>
      <c r="E152" s="9">
        <v>39</v>
      </c>
      <c r="F152" s="9">
        <f t="shared" si="2"/>
        <v>67</v>
      </c>
      <c r="H152" s="10">
        <v>97.4</v>
      </c>
      <c r="I152" s="10">
        <v>83.91</v>
      </c>
      <c r="J152" s="10">
        <v>142.38</v>
      </c>
      <c r="K152" s="10">
        <v>122.11</v>
      </c>
      <c r="M152" s="10">
        <v>126.70313</v>
      </c>
      <c r="N152" s="10">
        <v>177.16042000000002</v>
      </c>
      <c r="O152" s="10">
        <v>163.03238000000002</v>
      </c>
      <c r="Q152" s="10">
        <v>1314.98</v>
      </c>
      <c r="R152" s="10">
        <v>1284.8699999999999</v>
      </c>
      <c r="S152" s="10">
        <v>1293.3</v>
      </c>
    </row>
    <row r="153" spans="1:19" x14ac:dyDescent="0.2">
      <c r="A153" s="9" t="s">
        <v>306</v>
      </c>
      <c r="B153" s="9" t="s">
        <v>307</v>
      </c>
      <c r="C153" s="9">
        <v>2</v>
      </c>
      <c r="D153" s="9">
        <v>0</v>
      </c>
      <c r="E153" s="9">
        <v>22</v>
      </c>
      <c r="F153" s="9">
        <f t="shared" si="2"/>
        <v>24</v>
      </c>
      <c r="H153" s="10">
        <v>135</v>
      </c>
      <c r="I153" s="10">
        <v>0</v>
      </c>
      <c r="J153" s="10">
        <v>114.11</v>
      </c>
      <c r="K153" s="10">
        <v>116.1</v>
      </c>
      <c r="M153" s="10">
        <v>0</v>
      </c>
      <c r="N153" s="10">
        <v>99.766670000000005</v>
      </c>
      <c r="O153" s="10">
        <v>94.69</v>
      </c>
      <c r="Q153" s="10">
        <v>0</v>
      </c>
      <c r="R153" s="10">
        <v>810.82</v>
      </c>
      <c r="S153" s="10">
        <v>765.05</v>
      </c>
    </row>
    <row r="154" spans="1:19" x14ac:dyDescent="0.2">
      <c r="A154" s="9" t="s">
        <v>308</v>
      </c>
      <c r="B154" s="9" t="s">
        <v>309</v>
      </c>
      <c r="C154" s="9">
        <v>6</v>
      </c>
      <c r="D154" s="9">
        <v>0</v>
      </c>
      <c r="E154" s="9">
        <v>45</v>
      </c>
      <c r="F154" s="9">
        <f t="shared" si="2"/>
        <v>51</v>
      </c>
      <c r="H154" s="10">
        <v>85</v>
      </c>
      <c r="I154" s="10">
        <v>0</v>
      </c>
      <c r="J154" s="10">
        <v>84.56</v>
      </c>
      <c r="K154" s="10">
        <v>84.61</v>
      </c>
      <c r="M154" s="10">
        <v>63.74</v>
      </c>
      <c r="N154" s="10">
        <v>90.261080000000007</v>
      </c>
      <c r="O154" s="10">
        <v>87.31429</v>
      </c>
      <c r="Q154" s="10">
        <v>823.32</v>
      </c>
      <c r="R154" s="10">
        <v>1111.6400000000001</v>
      </c>
      <c r="S154" s="10">
        <v>1079.5999999999999</v>
      </c>
    </row>
    <row r="155" spans="1:19" x14ac:dyDescent="0.2">
      <c r="A155" s="9" t="s">
        <v>310</v>
      </c>
      <c r="B155" s="9" t="s">
        <v>311</v>
      </c>
      <c r="C155" s="9">
        <v>51</v>
      </c>
      <c r="D155" s="9">
        <v>1</v>
      </c>
      <c r="E155" s="9">
        <v>130</v>
      </c>
      <c r="F155" s="9">
        <f t="shared" si="2"/>
        <v>182</v>
      </c>
      <c r="H155" s="10">
        <v>72.58</v>
      </c>
      <c r="I155" s="10">
        <v>0</v>
      </c>
      <c r="J155" s="10">
        <v>85.6</v>
      </c>
      <c r="K155" s="10">
        <v>81.56</v>
      </c>
      <c r="M155" s="10">
        <v>192.10489000000001</v>
      </c>
      <c r="N155" s="10">
        <v>256.70344</v>
      </c>
      <c r="O155" s="10">
        <v>236.51639</v>
      </c>
      <c r="Q155" s="10">
        <v>2554.58</v>
      </c>
      <c r="R155" s="10">
        <v>3091.01</v>
      </c>
      <c r="S155" s="10">
        <v>2923.38</v>
      </c>
    </row>
    <row r="156" spans="1:19" x14ac:dyDescent="0.2">
      <c r="A156" s="9" t="s">
        <v>312</v>
      </c>
      <c r="B156" s="9" t="s">
        <v>313</v>
      </c>
      <c r="C156" s="9">
        <v>98</v>
      </c>
      <c r="D156" s="9">
        <v>9</v>
      </c>
      <c r="E156" s="9">
        <v>78</v>
      </c>
      <c r="F156" s="9">
        <f t="shared" si="2"/>
        <v>185</v>
      </c>
      <c r="H156" s="10">
        <v>96.14</v>
      </c>
      <c r="I156" s="10">
        <v>81</v>
      </c>
      <c r="J156" s="10">
        <v>126.85</v>
      </c>
      <c r="K156" s="10">
        <v>106.9</v>
      </c>
      <c r="M156" s="10">
        <v>331.20304999999996</v>
      </c>
      <c r="N156" s="10">
        <v>453.83208000000002</v>
      </c>
      <c r="O156" s="10">
        <v>376.02607</v>
      </c>
      <c r="Q156" s="10">
        <v>3315.16</v>
      </c>
      <c r="R156" s="10">
        <v>3697.71</v>
      </c>
      <c r="S156" s="10">
        <v>3454.99</v>
      </c>
    </row>
    <row r="157" spans="1:19" x14ac:dyDescent="0.2">
      <c r="A157" s="9" t="s">
        <v>314</v>
      </c>
      <c r="B157" s="9" t="s">
        <v>315</v>
      </c>
      <c r="C157" s="9">
        <v>10</v>
      </c>
      <c r="D157" s="9">
        <v>0</v>
      </c>
      <c r="E157" s="9">
        <v>277</v>
      </c>
      <c r="F157" s="9">
        <f t="shared" si="2"/>
        <v>287</v>
      </c>
      <c r="H157" s="10">
        <v>133.13999999999999</v>
      </c>
      <c r="I157" s="10">
        <v>0</v>
      </c>
      <c r="J157" s="10">
        <v>101.47</v>
      </c>
      <c r="K157" s="10">
        <v>102.38</v>
      </c>
      <c r="M157" s="10">
        <v>210.87170999999998</v>
      </c>
      <c r="N157" s="10">
        <v>219.15885</v>
      </c>
      <c r="O157" s="10">
        <v>218.91094000000001</v>
      </c>
      <c r="Q157" s="10">
        <v>1492.31</v>
      </c>
      <c r="R157" s="10">
        <v>2345.37</v>
      </c>
      <c r="S157" s="10">
        <v>2319.85</v>
      </c>
    </row>
    <row r="158" spans="1:19" x14ac:dyDescent="0.2">
      <c r="A158" s="9" t="s">
        <v>316</v>
      </c>
      <c r="B158" s="9" t="s">
        <v>317</v>
      </c>
      <c r="C158" s="9">
        <v>14</v>
      </c>
      <c r="D158" s="9">
        <v>0</v>
      </c>
      <c r="E158" s="9">
        <v>52</v>
      </c>
      <c r="F158" s="9">
        <f t="shared" si="2"/>
        <v>66</v>
      </c>
      <c r="H158" s="10">
        <v>98.38</v>
      </c>
      <c r="I158" s="10">
        <v>0</v>
      </c>
      <c r="J158" s="10">
        <v>110.65</v>
      </c>
      <c r="K158" s="10">
        <v>108.16</v>
      </c>
      <c r="M158" s="10">
        <v>284.93815000000001</v>
      </c>
      <c r="N158" s="10">
        <v>263.56304999999998</v>
      </c>
      <c r="O158" s="10">
        <v>267.90487000000002</v>
      </c>
      <c r="Q158" s="10">
        <v>2920.13</v>
      </c>
      <c r="R158" s="10">
        <v>2576.5100000000002</v>
      </c>
      <c r="S158" s="10">
        <v>2646.31</v>
      </c>
    </row>
    <row r="159" spans="1:19" x14ac:dyDescent="0.2">
      <c r="A159" s="9" t="s">
        <v>318</v>
      </c>
      <c r="B159" s="9" t="s">
        <v>319</v>
      </c>
      <c r="C159" s="9">
        <v>7</v>
      </c>
      <c r="D159" s="9">
        <v>0</v>
      </c>
      <c r="E159" s="9">
        <v>116</v>
      </c>
      <c r="F159" s="9">
        <f t="shared" si="2"/>
        <v>123</v>
      </c>
      <c r="H159" s="10">
        <v>201.14</v>
      </c>
      <c r="I159" s="10">
        <v>0</v>
      </c>
      <c r="J159" s="10">
        <v>142.72</v>
      </c>
      <c r="K159" s="10">
        <v>146.34</v>
      </c>
      <c r="M159" s="10">
        <v>364</v>
      </c>
      <c r="N159" s="10">
        <v>335.14801</v>
      </c>
      <c r="O159" s="10">
        <v>336.93529999999998</v>
      </c>
      <c r="Q159" s="10">
        <v>1912.47</v>
      </c>
      <c r="R159" s="10">
        <v>2631.42</v>
      </c>
      <c r="S159" s="10">
        <v>2586.88</v>
      </c>
    </row>
    <row r="160" spans="1:19" x14ac:dyDescent="0.2">
      <c r="A160" s="9" t="s">
        <v>320</v>
      </c>
      <c r="B160" s="9" t="s">
        <v>321</v>
      </c>
      <c r="C160" s="9">
        <v>12</v>
      </c>
      <c r="D160" s="9">
        <v>0</v>
      </c>
      <c r="E160" s="9">
        <v>44</v>
      </c>
      <c r="F160" s="9">
        <f t="shared" si="2"/>
        <v>56</v>
      </c>
      <c r="H160" s="10">
        <v>96.18</v>
      </c>
      <c r="I160" s="10">
        <v>0</v>
      </c>
      <c r="J160" s="10">
        <v>100.91</v>
      </c>
      <c r="K160" s="10">
        <v>99.78</v>
      </c>
      <c r="M160" s="10">
        <v>120.80018</v>
      </c>
      <c r="N160" s="10">
        <v>159.67076</v>
      </c>
      <c r="O160" s="10">
        <v>149.95310999999998</v>
      </c>
      <c r="Q160" s="10">
        <v>1249.22</v>
      </c>
      <c r="R160" s="10">
        <v>1665.2</v>
      </c>
      <c r="S160" s="10">
        <v>1561.2</v>
      </c>
    </row>
    <row r="161" spans="1:19" x14ac:dyDescent="0.2">
      <c r="A161" s="9" t="s">
        <v>322</v>
      </c>
      <c r="B161" s="9" t="s">
        <v>323</v>
      </c>
      <c r="C161" s="9">
        <v>18</v>
      </c>
      <c r="D161" s="9">
        <v>0</v>
      </c>
      <c r="E161" s="9">
        <v>82</v>
      </c>
      <c r="F161" s="9">
        <f t="shared" si="2"/>
        <v>100</v>
      </c>
      <c r="H161" s="10">
        <v>75.180000000000007</v>
      </c>
      <c r="I161" s="10">
        <v>0</v>
      </c>
      <c r="J161" s="10">
        <v>82.62</v>
      </c>
      <c r="K161" s="10">
        <v>81.23</v>
      </c>
      <c r="M161" s="10">
        <v>87.970590000000001</v>
      </c>
      <c r="N161" s="10">
        <v>103.83067</v>
      </c>
      <c r="O161" s="10">
        <v>100.83488</v>
      </c>
      <c r="Q161" s="10">
        <v>1172.3399999999999</v>
      </c>
      <c r="R161" s="10">
        <v>1301.43</v>
      </c>
      <c r="S161" s="10">
        <v>1277.05</v>
      </c>
    </row>
    <row r="162" spans="1:19" x14ac:dyDescent="0.2">
      <c r="A162" s="9" t="s">
        <v>324</v>
      </c>
      <c r="B162" s="9" t="s">
        <v>325</v>
      </c>
      <c r="C162" s="9">
        <v>13</v>
      </c>
      <c r="D162" s="9">
        <v>0</v>
      </c>
      <c r="E162" s="9">
        <v>45</v>
      </c>
      <c r="F162" s="9">
        <f t="shared" si="2"/>
        <v>58</v>
      </c>
      <c r="H162" s="10">
        <v>84.4</v>
      </c>
      <c r="I162" s="10">
        <v>0</v>
      </c>
      <c r="J162" s="10">
        <v>152.58000000000001</v>
      </c>
      <c r="K162" s="10">
        <v>144.27000000000001</v>
      </c>
      <c r="M162" s="10">
        <v>205.4</v>
      </c>
      <c r="N162" s="10">
        <v>329.36986999999999</v>
      </c>
      <c r="O162" s="10">
        <v>314.25159000000002</v>
      </c>
      <c r="Q162" s="10">
        <v>2362.73</v>
      </c>
      <c r="R162" s="10">
        <v>2368.6</v>
      </c>
      <c r="S162" s="10">
        <v>2367.88</v>
      </c>
    </row>
    <row r="163" spans="1:19" x14ac:dyDescent="0.2">
      <c r="A163" s="9" t="s">
        <v>326</v>
      </c>
      <c r="B163" s="9" t="s">
        <v>327</v>
      </c>
      <c r="C163" s="9">
        <v>40</v>
      </c>
      <c r="D163" s="9">
        <v>1</v>
      </c>
      <c r="E163" s="9">
        <v>128</v>
      </c>
      <c r="F163" s="9">
        <f t="shared" si="2"/>
        <v>169</v>
      </c>
      <c r="H163" s="10">
        <v>122.16</v>
      </c>
      <c r="I163" s="10">
        <v>81</v>
      </c>
      <c r="J163" s="10">
        <v>102.89</v>
      </c>
      <c r="K163" s="10">
        <v>106.97</v>
      </c>
      <c r="M163" s="10">
        <v>169.82446999999999</v>
      </c>
      <c r="N163" s="10">
        <v>186.7501</v>
      </c>
      <c r="O163" s="10">
        <v>182.80502999999999</v>
      </c>
      <c r="Q163" s="10">
        <v>1529.72</v>
      </c>
      <c r="R163" s="10">
        <v>1978.74</v>
      </c>
      <c r="S163" s="10">
        <v>1874.08</v>
      </c>
    </row>
    <row r="164" spans="1:19" x14ac:dyDescent="0.2">
      <c r="A164" s="9" t="s">
        <v>328</v>
      </c>
      <c r="B164" s="9" t="s">
        <v>329</v>
      </c>
      <c r="C164" s="9">
        <v>3</v>
      </c>
      <c r="D164" s="9">
        <v>0</v>
      </c>
      <c r="E164" s="9">
        <v>35</v>
      </c>
      <c r="F164" s="9">
        <f t="shared" si="2"/>
        <v>38</v>
      </c>
      <c r="H164" s="10">
        <v>68.67</v>
      </c>
      <c r="I164" s="10">
        <v>0</v>
      </c>
      <c r="J164" s="10">
        <v>91.89</v>
      </c>
      <c r="K164" s="10">
        <v>89.64</v>
      </c>
      <c r="M164" s="10">
        <v>181.66667000000001</v>
      </c>
      <c r="N164" s="10">
        <v>211.67778000000001</v>
      </c>
      <c r="O164" s="10">
        <v>208.67667</v>
      </c>
      <c r="Q164" s="10">
        <v>2665.8</v>
      </c>
      <c r="R164" s="10">
        <v>2345.5300000000002</v>
      </c>
      <c r="S164" s="10">
        <v>2377.56</v>
      </c>
    </row>
    <row r="165" spans="1:19" x14ac:dyDescent="0.2">
      <c r="A165" s="9" t="s">
        <v>330</v>
      </c>
      <c r="B165" s="9" t="s">
        <v>331</v>
      </c>
      <c r="C165" s="9">
        <v>8</v>
      </c>
      <c r="D165" s="9">
        <v>0</v>
      </c>
      <c r="E165" s="9">
        <v>85</v>
      </c>
      <c r="F165" s="9">
        <f t="shared" si="2"/>
        <v>93</v>
      </c>
      <c r="H165" s="10">
        <v>76.290000000000006</v>
      </c>
      <c r="I165" s="10">
        <v>0</v>
      </c>
      <c r="J165" s="10">
        <v>100.82</v>
      </c>
      <c r="K165" s="10">
        <v>98.8</v>
      </c>
      <c r="M165" s="10">
        <v>76.157139999999998</v>
      </c>
      <c r="N165" s="10">
        <v>110.96262</v>
      </c>
      <c r="O165" s="10">
        <v>108.02722</v>
      </c>
      <c r="Q165" s="10">
        <v>1030.4000000000001</v>
      </c>
      <c r="R165" s="10">
        <v>1130.01</v>
      </c>
      <c r="S165" s="10">
        <v>1121.6099999999999</v>
      </c>
    </row>
    <row r="166" spans="1:19" x14ac:dyDescent="0.2">
      <c r="A166" s="9" t="s">
        <v>332</v>
      </c>
      <c r="B166" s="9" t="s">
        <v>333</v>
      </c>
      <c r="C166" s="9">
        <v>9</v>
      </c>
      <c r="D166" s="9">
        <v>0</v>
      </c>
      <c r="E166" s="9">
        <v>695</v>
      </c>
      <c r="F166" s="9">
        <f t="shared" si="2"/>
        <v>704</v>
      </c>
      <c r="H166" s="10">
        <v>68</v>
      </c>
      <c r="I166" s="10">
        <v>0</v>
      </c>
      <c r="J166" s="10">
        <v>65.59</v>
      </c>
      <c r="K166" s="10">
        <v>65.62</v>
      </c>
      <c r="M166" s="10">
        <v>157.72535999999999</v>
      </c>
      <c r="N166" s="10">
        <v>128.62460000000002</v>
      </c>
      <c r="O166" s="10">
        <v>129.04107000000002</v>
      </c>
      <c r="Q166" s="10">
        <v>2352.29</v>
      </c>
      <c r="R166" s="10">
        <v>1992.97</v>
      </c>
      <c r="S166" s="10">
        <v>1998.11</v>
      </c>
    </row>
    <row r="167" spans="1:19" x14ac:dyDescent="0.2">
      <c r="A167" s="9" t="s">
        <v>334</v>
      </c>
      <c r="B167" s="9" t="s">
        <v>335</v>
      </c>
      <c r="C167" s="9">
        <v>0</v>
      </c>
      <c r="D167" s="9">
        <v>0</v>
      </c>
      <c r="E167" s="9">
        <v>59</v>
      </c>
      <c r="F167" s="9">
        <f t="shared" si="2"/>
        <v>59</v>
      </c>
      <c r="H167" s="10">
        <v>0</v>
      </c>
      <c r="I167" s="10">
        <v>0</v>
      </c>
      <c r="J167" s="10">
        <v>136.09</v>
      </c>
      <c r="K167" s="10">
        <v>136.09</v>
      </c>
      <c r="M167" s="10">
        <v>0</v>
      </c>
      <c r="N167" s="10">
        <v>209.90911</v>
      </c>
      <c r="O167" s="10">
        <v>209.90911</v>
      </c>
      <c r="Q167" s="10">
        <v>0</v>
      </c>
      <c r="R167" s="10">
        <v>1750.61</v>
      </c>
      <c r="S167" s="10">
        <v>1750.61</v>
      </c>
    </row>
    <row r="168" spans="1:19" x14ac:dyDescent="0.2">
      <c r="A168" s="9" t="s">
        <v>336</v>
      </c>
      <c r="B168" s="9" t="s">
        <v>337</v>
      </c>
      <c r="C168" s="9">
        <v>14</v>
      </c>
      <c r="D168" s="9">
        <v>0</v>
      </c>
      <c r="E168" s="9">
        <v>60</v>
      </c>
      <c r="F168" s="9">
        <f t="shared" si="2"/>
        <v>74</v>
      </c>
      <c r="H168" s="10">
        <v>194.62</v>
      </c>
      <c r="I168" s="10">
        <v>0</v>
      </c>
      <c r="J168" s="10">
        <v>153.36000000000001</v>
      </c>
      <c r="K168" s="10">
        <v>160.91</v>
      </c>
      <c r="M168" s="10">
        <v>259.47169000000002</v>
      </c>
      <c r="N168" s="10">
        <v>209.72039999999998</v>
      </c>
      <c r="O168" s="10">
        <v>218.82979</v>
      </c>
      <c r="Q168" s="10">
        <v>1371.12</v>
      </c>
      <c r="R168" s="10">
        <v>1521.35</v>
      </c>
      <c r="S168" s="10">
        <v>1493.84</v>
      </c>
    </row>
    <row r="169" spans="1:19" x14ac:dyDescent="0.2">
      <c r="A169" s="9" t="s">
        <v>338</v>
      </c>
      <c r="B169" s="9" t="s">
        <v>339</v>
      </c>
      <c r="C169" s="9">
        <v>14</v>
      </c>
      <c r="D169" s="9">
        <v>2</v>
      </c>
      <c r="E169" s="9">
        <v>63</v>
      </c>
      <c r="F169" s="9">
        <f t="shared" si="2"/>
        <v>79</v>
      </c>
      <c r="H169" s="10">
        <v>108.62</v>
      </c>
      <c r="I169" s="10">
        <v>78.5</v>
      </c>
      <c r="J169" s="10">
        <v>94.65</v>
      </c>
      <c r="K169" s="10">
        <v>96.88</v>
      </c>
      <c r="M169" s="10">
        <v>80.41395</v>
      </c>
      <c r="N169" s="10">
        <v>73.964089999999999</v>
      </c>
      <c r="O169" s="10">
        <v>75.385249999999999</v>
      </c>
      <c r="Q169" s="10">
        <v>695.03</v>
      </c>
      <c r="R169" s="10">
        <v>823.02</v>
      </c>
      <c r="S169" s="10">
        <v>794.82</v>
      </c>
    </row>
    <row r="170" spans="1:19" x14ac:dyDescent="0.2">
      <c r="A170" s="9" t="s">
        <v>340</v>
      </c>
      <c r="B170" s="9" t="s">
        <v>341</v>
      </c>
      <c r="C170" s="9">
        <v>8</v>
      </c>
      <c r="D170" s="9">
        <v>0</v>
      </c>
      <c r="E170" s="9">
        <v>31</v>
      </c>
      <c r="F170" s="9">
        <f t="shared" si="2"/>
        <v>39</v>
      </c>
      <c r="H170" s="10">
        <v>138.38</v>
      </c>
      <c r="I170" s="10">
        <v>0</v>
      </c>
      <c r="J170" s="10">
        <v>88.52</v>
      </c>
      <c r="K170" s="10">
        <v>100.61</v>
      </c>
      <c r="M170" s="10">
        <v>185.6875</v>
      </c>
      <c r="N170" s="10">
        <v>95.612880000000004</v>
      </c>
      <c r="O170" s="10">
        <v>117.44914999999999</v>
      </c>
      <c r="Q170" s="10">
        <v>1514.72</v>
      </c>
      <c r="R170" s="10">
        <v>1079.8699999999999</v>
      </c>
      <c r="S170" s="10">
        <v>1185.29</v>
      </c>
    </row>
    <row r="171" spans="1:19" x14ac:dyDescent="0.2">
      <c r="A171" s="9" t="s">
        <v>342</v>
      </c>
      <c r="B171" s="9" t="s">
        <v>343</v>
      </c>
      <c r="C171" s="9">
        <v>16</v>
      </c>
      <c r="D171" s="9">
        <v>0</v>
      </c>
      <c r="E171" s="9">
        <v>58</v>
      </c>
      <c r="F171" s="9">
        <f t="shared" si="2"/>
        <v>74</v>
      </c>
      <c r="H171" s="10">
        <v>116.64</v>
      </c>
      <c r="I171" s="10">
        <v>0</v>
      </c>
      <c r="J171" s="10">
        <v>153.19999999999999</v>
      </c>
      <c r="K171" s="10">
        <v>145.78</v>
      </c>
      <c r="M171" s="10">
        <v>163.08235999999999</v>
      </c>
      <c r="N171" s="10">
        <v>188.02555999999998</v>
      </c>
      <c r="O171" s="10">
        <v>182.89020000000002</v>
      </c>
      <c r="Q171" s="10">
        <v>1605.83</v>
      </c>
      <c r="R171" s="10">
        <v>1348.19</v>
      </c>
      <c r="S171" s="10">
        <v>1401.23</v>
      </c>
    </row>
    <row r="172" spans="1:19" x14ac:dyDescent="0.2">
      <c r="A172" s="9" t="s">
        <v>344</v>
      </c>
      <c r="B172" s="9" t="s">
        <v>345</v>
      </c>
      <c r="C172" s="9">
        <v>35</v>
      </c>
      <c r="D172" s="9">
        <v>3</v>
      </c>
      <c r="E172" s="9">
        <v>116</v>
      </c>
      <c r="F172" s="9">
        <f t="shared" si="2"/>
        <v>154</v>
      </c>
      <c r="H172" s="10">
        <v>81.47</v>
      </c>
      <c r="I172" s="10">
        <v>86</v>
      </c>
      <c r="J172" s="10">
        <v>106.56</v>
      </c>
      <c r="K172" s="10">
        <v>100.27</v>
      </c>
      <c r="M172" s="10">
        <v>154.20670999999999</v>
      </c>
      <c r="N172" s="10">
        <v>178.72054999999997</v>
      </c>
      <c r="O172" s="10">
        <v>172.54382999999999</v>
      </c>
      <c r="Q172" s="10">
        <v>1947.15</v>
      </c>
      <c r="R172" s="10">
        <v>1778.17</v>
      </c>
      <c r="S172" s="10">
        <v>1820.75</v>
      </c>
    </row>
    <row r="173" spans="1:19" x14ac:dyDescent="0.2">
      <c r="A173" s="9" t="s">
        <v>346</v>
      </c>
      <c r="B173" s="9" t="s">
        <v>347</v>
      </c>
      <c r="C173" s="9">
        <v>15</v>
      </c>
      <c r="D173" s="9">
        <v>1</v>
      </c>
      <c r="E173" s="9">
        <v>35</v>
      </c>
      <c r="F173" s="9">
        <f t="shared" si="2"/>
        <v>51</v>
      </c>
      <c r="H173" s="10">
        <v>104.77</v>
      </c>
      <c r="I173" s="10">
        <v>90</v>
      </c>
      <c r="J173" s="10">
        <v>84.46</v>
      </c>
      <c r="K173" s="10">
        <v>89.96</v>
      </c>
      <c r="M173" s="10">
        <v>103.96615</v>
      </c>
      <c r="N173" s="10">
        <v>123.58909</v>
      </c>
      <c r="O173" s="10">
        <v>118.27453999999999</v>
      </c>
      <c r="Q173" s="10">
        <v>1098.6199999999999</v>
      </c>
      <c r="R173" s="10">
        <v>1628.63</v>
      </c>
      <c r="S173" s="10">
        <v>1485.09</v>
      </c>
    </row>
    <row r="174" spans="1:19" x14ac:dyDescent="0.2">
      <c r="A174" s="9" t="s">
        <v>348</v>
      </c>
      <c r="B174" s="9" t="s">
        <v>349</v>
      </c>
      <c r="C174" s="9">
        <v>7</v>
      </c>
      <c r="D174" s="9">
        <v>1</v>
      </c>
      <c r="E174" s="9">
        <v>26</v>
      </c>
      <c r="F174" s="9">
        <f t="shared" si="2"/>
        <v>34</v>
      </c>
      <c r="H174" s="10">
        <v>97.67</v>
      </c>
      <c r="I174" s="10">
        <v>110</v>
      </c>
      <c r="J174" s="10">
        <v>85.46</v>
      </c>
      <c r="K174" s="10">
        <v>88.42</v>
      </c>
      <c r="M174" s="10">
        <v>184.08332999999999</v>
      </c>
      <c r="N174" s="10">
        <v>123.22857</v>
      </c>
      <c r="O174" s="10">
        <v>136.75185000000002</v>
      </c>
      <c r="Q174" s="10">
        <v>1929.08</v>
      </c>
      <c r="R174" s="10">
        <v>1397.85</v>
      </c>
      <c r="S174" s="10">
        <v>1515.9</v>
      </c>
    </row>
    <row r="175" spans="1:19" x14ac:dyDescent="0.2">
      <c r="A175" s="9" t="s">
        <v>350</v>
      </c>
      <c r="B175" s="9" t="s">
        <v>351</v>
      </c>
      <c r="C175" s="9">
        <v>0</v>
      </c>
      <c r="D175" s="9">
        <v>0</v>
      </c>
      <c r="E175" s="9">
        <v>28</v>
      </c>
      <c r="F175" s="9">
        <f t="shared" si="2"/>
        <v>28</v>
      </c>
      <c r="H175" s="10">
        <v>0</v>
      </c>
      <c r="I175" s="10">
        <v>0</v>
      </c>
      <c r="J175" s="10">
        <v>125.69</v>
      </c>
      <c r="K175" s="10">
        <v>125.69</v>
      </c>
      <c r="M175" s="10">
        <v>0</v>
      </c>
      <c r="N175" s="10">
        <v>153.07726</v>
      </c>
      <c r="O175" s="10">
        <v>153.07726</v>
      </c>
      <c r="Q175" s="10">
        <v>0</v>
      </c>
      <c r="R175" s="10">
        <v>1189.69</v>
      </c>
      <c r="S175" s="10">
        <v>1189.69</v>
      </c>
    </row>
    <row r="176" spans="1:19" x14ac:dyDescent="0.2">
      <c r="A176" s="9" t="s">
        <v>352</v>
      </c>
      <c r="B176" s="9" t="s">
        <v>353</v>
      </c>
      <c r="C176" s="9">
        <v>2</v>
      </c>
      <c r="D176" s="9">
        <v>0</v>
      </c>
      <c r="E176" s="9">
        <v>18</v>
      </c>
      <c r="F176" s="9">
        <f t="shared" si="2"/>
        <v>20</v>
      </c>
      <c r="H176" s="10">
        <v>65</v>
      </c>
      <c r="I176" s="10">
        <v>0</v>
      </c>
      <c r="J176" s="10">
        <v>135.25</v>
      </c>
      <c r="K176" s="10">
        <v>125.21</v>
      </c>
      <c r="M176" s="10">
        <v>0</v>
      </c>
      <c r="N176" s="10">
        <v>73.453759999999988</v>
      </c>
      <c r="O176" s="10">
        <v>68.774649999999994</v>
      </c>
      <c r="Q176" s="10">
        <v>0</v>
      </c>
      <c r="R176" s="10">
        <v>637.72</v>
      </c>
      <c r="S176" s="10">
        <v>621.14</v>
      </c>
    </row>
    <row r="177" spans="1:19" x14ac:dyDescent="0.2">
      <c r="A177" s="9" t="s">
        <v>354</v>
      </c>
      <c r="B177" s="9" t="s">
        <v>355</v>
      </c>
      <c r="C177" s="9">
        <v>6</v>
      </c>
      <c r="D177" s="9">
        <v>0</v>
      </c>
      <c r="E177" s="9">
        <v>58</v>
      </c>
      <c r="F177" s="9">
        <f t="shared" si="2"/>
        <v>64</v>
      </c>
      <c r="H177" s="10">
        <v>95.83</v>
      </c>
      <c r="I177" s="10">
        <v>0</v>
      </c>
      <c r="J177" s="10">
        <v>153.04</v>
      </c>
      <c r="K177" s="10">
        <v>146.91</v>
      </c>
      <c r="M177" s="10">
        <v>150.01211999999998</v>
      </c>
      <c r="N177" s="10">
        <v>193.83732999999998</v>
      </c>
      <c r="O177" s="10">
        <v>189.14176999999998</v>
      </c>
      <c r="Q177" s="10">
        <v>1657.97</v>
      </c>
      <c r="R177" s="10">
        <v>1471.89</v>
      </c>
      <c r="S177" s="10">
        <v>1491.83</v>
      </c>
    </row>
    <row r="178" spans="1:19" x14ac:dyDescent="0.2">
      <c r="A178" s="9" t="s">
        <v>356</v>
      </c>
      <c r="B178" s="9" t="s">
        <v>357</v>
      </c>
      <c r="C178" s="9">
        <v>6</v>
      </c>
      <c r="D178" s="9">
        <v>1</v>
      </c>
      <c r="E178" s="9">
        <v>52</v>
      </c>
      <c r="F178" s="9">
        <f t="shared" si="2"/>
        <v>59</v>
      </c>
      <c r="H178" s="10">
        <v>84</v>
      </c>
      <c r="I178" s="10">
        <v>89</v>
      </c>
      <c r="J178" s="10">
        <v>90.73</v>
      </c>
      <c r="K178" s="10">
        <v>89.98</v>
      </c>
      <c r="M178" s="10">
        <v>80.916669999999996</v>
      </c>
      <c r="N178" s="10">
        <v>106.73408000000001</v>
      </c>
      <c r="O178" s="10">
        <v>102.86147</v>
      </c>
      <c r="Q178" s="10">
        <v>1076.31</v>
      </c>
      <c r="R178" s="10">
        <v>1082.8900000000001</v>
      </c>
      <c r="S178" s="10">
        <v>1081.9000000000001</v>
      </c>
    </row>
    <row r="179" spans="1:19" x14ac:dyDescent="0.2">
      <c r="A179" s="9" t="s">
        <v>358</v>
      </c>
      <c r="B179" s="9" t="s">
        <v>359</v>
      </c>
      <c r="C179" s="9">
        <v>5</v>
      </c>
      <c r="D179" s="9">
        <v>0</v>
      </c>
      <c r="E179" s="9">
        <v>43</v>
      </c>
      <c r="F179" s="9">
        <f t="shared" si="2"/>
        <v>48</v>
      </c>
      <c r="H179" s="10">
        <v>145.19999999999999</v>
      </c>
      <c r="I179" s="10">
        <v>0</v>
      </c>
      <c r="J179" s="10">
        <v>124.47</v>
      </c>
      <c r="K179" s="10">
        <v>127.13</v>
      </c>
      <c r="M179" s="10">
        <v>127.66</v>
      </c>
      <c r="N179" s="10">
        <v>137.74727999999999</v>
      </c>
      <c r="O179" s="10">
        <v>136.45404000000002</v>
      </c>
      <c r="Q179" s="10">
        <v>955.57</v>
      </c>
      <c r="R179" s="10">
        <v>1235.78</v>
      </c>
      <c r="S179" s="10">
        <v>1199.8599999999999</v>
      </c>
    </row>
    <row r="180" spans="1:19" x14ac:dyDescent="0.2">
      <c r="A180" s="9" t="s">
        <v>360</v>
      </c>
      <c r="B180" s="9" t="s">
        <v>361</v>
      </c>
      <c r="C180" s="9">
        <v>140</v>
      </c>
      <c r="D180" s="9">
        <v>0</v>
      </c>
      <c r="E180" s="9">
        <v>335</v>
      </c>
      <c r="F180" s="9">
        <f t="shared" si="2"/>
        <v>475</v>
      </c>
      <c r="H180" s="10">
        <v>119.95</v>
      </c>
      <c r="I180" s="10">
        <v>0</v>
      </c>
      <c r="J180" s="10">
        <v>90.33</v>
      </c>
      <c r="K180" s="10">
        <v>98.61</v>
      </c>
      <c r="M180" s="10">
        <v>496.11488000000003</v>
      </c>
      <c r="N180" s="10">
        <v>393.41209000000003</v>
      </c>
      <c r="O180" s="10">
        <v>422.31218000000001</v>
      </c>
      <c r="Q180" s="10">
        <v>4341.83</v>
      </c>
      <c r="R180" s="10">
        <v>4529.46</v>
      </c>
      <c r="S180" s="10">
        <v>4476.66</v>
      </c>
    </row>
    <row r="181" spans="1:19" x14ac:dyDescent="0.2">
      <c r="A181" s="9" t="s">
        <v>362</v>
      </c>
      <c r="B181" s="9" t="s">
        <v>363</v>
      </c>
      <c r="C181" s="9">
        <v>1</v>
      </c>
      <c r="D181" s="9">
        <v>0</v>
      </c>
      <c r="E181" s="9">
        <v>49</v>
      </c>
      <c r="F181" s="9">
        <f t="shared" si="2"/>
        <v>50</v>
      </c>
      <c r="H181" s="10">
        <v>123</v>
      </c>
      <c r="I181" s="10">
        <v>0</v>
      </c>
      <c r="J181" s="10">
        <v>126.44</v>
      </c>
      <c r="K181" s="10">
        <v>126.36</v>
      </c>
      <c r="M181" s="10">
        <v>0</v>
      </c>
      <c r="N181" s="10">
        <v>103.94539999999999</v>
      </c>
      <c r="O181" s="10">
        <v>105.14185000000001</v>
      </c>
      <c r="Q181" s="10">
        <v>0</v>
      </c>
      <c r="R181" s="10">
        <v>835.11</v>
      </c>
      <c r="S181" s="10">
        <v>845.08</v>
      </c>
    </row>
    <row r="182" spans="1:19" x14ac:dyDescent="0.2">
      <c r="A182" s="9" t="s">
        <v>364</v>
      </c>
      <c r="B182" s="9" t="s">
        <v>365</v>
      </c>
      <c r="C182" s="9">
        <v>12</v>
      </c>
      <c r="D182" s="9">
        <v>0</v>
      </c>
      <c r="E182" s="9">
        <v>17</v>
      </c>
      <c r="F182" s="9">
        <f t="shared" si="2"/>
        <v>29</v>
      </c>
      <c r="H182" s="10">
        <v>79.900000000000006</v>
      </c>
      <c r="I182" s="10">
        <v>0</v>
      </c>
      <c r="J182" s="10">
        <v>84.14</v>
      </c>
      <c r="K182" s="10">
        <v>82.37</v>
      </c>
      <c r="M182" s="10">
        <v>64.778329999999997</v>
      </c>
      <c r="N182" s="10">
        <v>78.365850000000009</v>
      </c>
      <c r="O182" s="10">
        <v>72.189700000000002</v>
      </c>
      <c r="Q182" s="10">
        <v>791.16</v>
      </c>
      <c r="R182" s="10">
        <v>1001.44</v>
      </c>
      <c r="S182" s="10">
        <v>905.86</v>
      </c>
    </row>
    <row r="183" spans="1:19" x14ac:dyDescent="0.2">
      <c r="A183" s="9" t="s">
        <v>366</v>
      </c>
      <c r="B183" s="9" t="s">
        <v>367</v>
      </c>
      <c r="C183" s="9">
        <v>11</v>
      </c>
      <c r="D183" s="9">
        <v>0</v>
      </c>
      <c r="E183" s="9">
        <v>21</v>
      </c>
      <c r="F183" s="9">
        <f t="shared" si="2"/>
        <v>32</v>
      </c>
      <c r="H183" s="10">
        <v>133.27000000000001</v>
      </c>
      <c r="I183" s="10">
        <v>0</v>
      </c>
      <c r="J183" s="10">
        <v>108.37</v>
      </c>
      <c r="K183" s="10">
        <v>117.5</v>
      </c>
      <c r="M183" s="10">
        <v>160.00001</v>
      </c>
      <c r="N183" s="10">
        <v>210.36852999999999</v>
      </c>
      <c r="O183" s="10">
        <v>191.90007</v>
      </c>
      <c r="Q183" s="10">
        <v>1511.2</v>
      </c>
      <c r="R183" s="10">
        <v>1997.67</v>
      </c>
      <c r="S183" s="10">
        <v>1819.3</v>
      </c>
    </row>
    <row r="184" spans="1:19" x14ac:dyDescent="0.2">
      <c r="A184" s="9" t="s">
        <v>368</v>
      </c>
      <c r="B184" s="9" t="s">
        <v>369</v>
      </c>
      <c r="C184" s="9">
        <v>106</v>
      </c>
      <c r="D184" s="9">
        <v>4</v>
      </c>
      <c r="E184" s="9">
        <v>1031</v>
      </c>
      <c r="F184" s="9">
        <f t="shared" si="2"/>
        <v>1141</v>
      </c>
      <c r="H184" s="10">
        <v>93.11</v>
      </c>
      <c r="I184" s="10">
        <v>79.5</v>
      </c>
      <c r="J184" s="10">
        <v>86.85</v>
      </c>
      <c r="K184" s="10">
        <v>87.43</v>
      </c>
      <c r="M184" s="10">
        <v>136.83318</v>
      </c>
      <c r="N184" s="10">
        <v>114.23267</v>
      </c>
      <c r="O184" s="10">
        <v>116.48406</v>
      </c>
      <c r="Q184" s="10">
        <v>1434.68</v>
      </c>
      <c r="R184" s="10">
        <v>1296.8499999999999</v>
      </c>
      <c r="S184" s="10">
        <v>1310.58</v>
      </c>
    </row>
    <row r="185" spans="1:19" x14ac:dyDescent="0.2">
      <c r="A185" s="9" t="s">
        <v>370</v>
      </c>
      <c r="B185" s="9" t="s">
        <v>371</v>
      </c>
      <c r="C185" s="9">
        <v>26</v>
      </c>
      <c r="D185" s="9">
        <v>19</v>
      </c>
      <c r="E185" s="9">
        <v>107</v>
      </c>
      <c r="F185" s="9">
        <f t="shared" si="2"/>
        <v>152</v>
      </c>
      <c r="H185" s="10">
        <v>113.5</v>
      </c>
      <c r="I185" s="10">
        <v>89.73</v>
      </c>
      <c r="J185" s="10">
        <v>92.87</v>
      </c>
      <c r="K185" s="10">
        <v>96.65</v>
      </c>
      <c r="M185" s="10">
        <v>100.92586999999999</v>
      </c>
      <c r="N185" s="10">
        <v>67.322519999999997</v>
      </c>
      <c r="O185" s="10">
        <v>76.528919999999999</v>
      </c>
      <c r="Q185" s="10">
        <v>938.76</v>
      </c>
      <c r="R185" s="10">
        <v>757.52</v>
      </c>
      <c r="S185" s="10">
        <v>807.17</v>
      </c>
    </row>
    <row r="186" spans="1:19" x14ac:dyDescent="0.2">
      <c r="A186" s="9" t="s">
        <v>372</v>
      </c>
      <c r="B186" s="9" t="s">
        <v>373</v>
      </c>
      <c r="C186" s="9">
        <v>19</v>
      </c>
      <c r="D186" s="9">
        <v>1</v>
      </c>
      <c r="E186" s="9">
        <v>45</v>
      </c>
      <c r="F186" s="9">
        <f t="shared" si="2"/>
        <v>65</v>
      </c>
      <c r="H186" s="10">
        <v>267.52999999999997</v>
      </c>
      <c r="I186" s="10">
        <v>71</v>
      </c>
      <c r="J186" s="10">
        <v>180.61</v>
      </c>
      <c r="K186" s="10">
        <v>203.8</v>
      </c>
      <c r="M186" s="10">
        <v>615.82371000000001</v>
      </c>
      <c r="N186" s="10">
        <v>432.51322999999996</v>
      </c>
      <c r="O186" s="10">
        <v>486.24215999999996</v>
      </c>
      <c r="Q186" s="10">
        <v>2228.4499999999998</v>
      </c>
      <c r="R186" s="10">
        <v>2696.93</v>
      </c>
      <c r="S186" s="10">
        <v>2559.62</v>
      </c>
    </row>
    <row r="187" spans="1:19" x14ac:dyDescent="0.2">
      <c r="A187" s="9" t="s">
        <v>374</v>
      </c>
      <c r="B187" s="9" t="s">
        <v>375</v>
      </c>
      <c r="C187" s="9">
        <v>149</v>
      </c>
      <c r="D187" s="9">
        <v>2</v>
      </c>
      <c r="E187" s="9">
        <v>1896</v>
      </c>
      <c r="F187" s="9">
        <f t="shared" si="2"/>
        <v>2047</v>
      </c>
      <c r="H187" s="10">
        <v>84.56</v>
      </c>
      <c r="I187" s="10">
        <v>81</v>
      </c>
      <c r="J187" s="10">
        <v>88.64</v>
      </c>
      <c r="K187" s="10">
        <v>88.33</v>
      </c>
      <c r="M187" s="10">
        <v>176.38885000000002</v>
      </c>
      <c r="N187" s="10">
        <v>142.66579999999999</v>
      </c>
      <c r="O187" s="10">
        <v>145.22345000000001</v>
      </c>
      <c r="Q187" s="10">
        <v>2274.89</v>
      </c>
      <c r="R187" s="10">
        <v>1718.73</v>
      </c>
      <c r="S187" s="10">
        <v>1760.91</v>
      </c>
    </row>
    <row r="188" spans="1:19" x14ac:dyDescent="0.2">
      <c r="A188" s="9" t="s">
        <v>376</v>
      </c>
      <c r="B188" s="9" t="s">
        <v>377</v>
      </c>
      <c r="C188" s="9">
        <v>39</v>
      </c>
      <c r="D188" s="9">
        <v>0</v>
      </c>
      <c r="E188" s="9">
        <v>37</v>
      </c>
      <c r="F188" s="9">
        <f t="shared" si="2"/>
        <v>76</v>
      </c>
      <c r="H188" s="10">
        <v>114.26</v>
      </c>
      <c r="I188" s="10">
        <v>0</v>
      </c>
      <c r="J188" s="10">
        <v>184.09</v>
      </c>
      <c r="K188" s="10">
        <v>146.27000000000001</v>
      </c>
      <c r="M188" s="10">
        <v>369.11144000000002</v>
      </c>
      <c r="N188" s="10">
        <v>452.44763</v>
      </c>
      <c r="O188" s="10">
        <v>407.30718999999999</v>
      </c>
      <c r="Q188" s="10">
        <v>3480.01</v>
      </c>
      <c r="R188" s="10">
        <v>2639.43</v>
      </c>
      <c r="S188" s="10">
        <v>3094.74</v>
      </c>
    </row>
    <row r="189" spans="1:19" x14ac:dyDescent="0.2">
      <c r="A189" s="9" t="s">
        <v>378</v>
      </c>
      <c r="B189" s="9" t="s">
        <v>379</v>
      </c>
      <c r="C189" s="9">
        <v>22</v>
      </c>
      <c r="D189" s="9">
        <v>0</v>
      </c>
      <c r="E189" s="9">
        <v>35</v>
      </c>
      <c r="F189" s="9">
        <f t="shared" si="2"/>
        <v>57</v>
      </c>
      <c r="H189" s="10">
        <v>89.72</v>
      </c>
      <c r="I189" s="10">
        <v>0</v>
      </c>
      <c r="J189" s="10">
        <v>93.7</v>
      </c>
      <c r="K189" s="10">
        <v>92.3</v>
      </c>
      <c r="M189" s="10">
        <v>114.11622</v>
      </c>
      <c r="N189" s="10">
        <v>140.28358</v>
      </c>
      <c r="O189" s="10">
        <v>131.04803999999999</v>
      </c>
      <c r="Q189" s="10">
        <v>1427.66</v>
      </c>
      <c r="R189" s="10">
        <v>1739.4</v>
      </c>
      <c r="S189" s="10">
        <v>1629.37</v>
      </c>
    </row>
    <row r="190" spans="1:19" x14ac:dyDescent="0.2">
      <c r="A190" s="9" t="s">
        <v>380</v>
      </c>
      <c r="B190" s="9" t="s">
        <v>381</v>
      </c>
      <c r="C190" s="9">
        <v>36</v>
      </c>
      <c r="D190" s="9">
        <v>0</v>
      </c>
      <c r="E190" s="9">
        <v>152</v>
      </c>
      <c r="F190" s="9">
        <f t="shared" si="2"/>
        <v>188</v>
      </c>
      <c r="H190" s="10">
        <v>97.56</v>
      </c>
      <c r="I190" s="10">
        <v>0</v>
      </c>
      <c r="J190" s="10">
        <v>105.24</v>
      </c>
      <c r="K190" s="10">
        <v>103.99</v>
      </c>
      <c r="M190" s="10">
        <v>86.691659999999999</v>
      </c>
      <c r="N190" s="10">
        <v>114.10889</v>
      </c>
      <c r="O190" s="10">
        <v>109.53935</v>
      </c>
      <c r="Q190" s="10">
        <v>1006.44</v>
      </c>
      <c r="R190" s="10">
        <v>1168.8699999999999</v>
      </c>
      <c r="S190" s="10">
        <v>1141.8</v>
      </c>
    </row>
    <row r="191" spans="1:19" x14ac:dyDescent="0.2">
      <c r="A191" s="9" t="s">
        <v>382</v>
      </c>
      <c r="B191" s="9" t="s">
        <v>383</v>
      </c>
      <c r="C191" s="9">
        <v>2</v>
      </c>
      <c r="D191" s="9">
        <v>0</v>
      </c>
      <c r="E191" s="9">
        <v>134</v>
      </c>
      <c r="F191" s="9">
        <f t="shared" si="2"/>
        <v>136</v>
      </c>
      <c r="H191" s="10">
        <v>137.5</v>
      </c>
      <c r="I191" s="10">
        <v>0</v>
      </c>
      <c r="J191" s="10">
        <v>109.57</v>
      </c>
      <c r="K191" s="10">
        <v>110.05</v>
      </c>
      <c r="M191" s="10">
        <v>0</v>
      </c>
      <c r="N191" s="10">
        <v>101.88908000000001</v>
      </c>
      <c r="O191" s="10">
        <v>103.01063000000001</v>
      </c>
      <c r="Q191" s="10">
        <v>0</v>
      </c>
      <c r="R191" s="10">
        <v>1026.93</v>
      </c>
      <c r="S191" s="10">
        <v>1029.47</v>
      </c>
    </row>
    <row r="192" spans="1:19" x14ac:dyDescent="0.2">
      <c r="A192" s="9" t="s">
        <v>384</v>
      </c>
      <c r="B192" s="9" t="s">
        <v>385</v>
      </c>
      <c r="C192" s="9">
        <v>63</v>
      </c>
      <c r="D192" s="9">
        <v>2</v>
      </c>
      <c r="E192" s="9">
        <v>230</v>
      </c>
      <c r="F192" s="9">
        <f t="shared" si="2"/>
        <v>295</v>
      </c>
      <c r="H192" s="10">
        <v>95</v>
      </c>
      <c r="I192" s="10">
        <v>66.5</v>
      </c>
      <c r="J192" s="10">
        <v>87.27</v>
      </c>
      <c r="K192" s="10">
        <v>88.64</v>
      </c>
      <c r="M192" s="10">
        <v>140.10973999999999</v>
      </c>
      <c r="N192" s="10">
        <v>127.01217</v>
      </c>
      <c r="O192" s="10">
        <v>129.67035000000001</v>
      </c>
      <c r="Q192" s="10">
        <v>1480.93</v>
      </c>
      <c r="R192" s="10">
        <v>1508.13</v>
      </c>
      <c r="S192" s="10">
        <v>1502.61</v>
      </c>
    </row>
    <row r="193" spans="1:19" x14ac:dyDescent="0.2">
      <c r="A193" s="9" t="s">
        <v>386</v>
      </c>
      <c r="B193" s="9" t="s">
        <v>387</v>
      </c>
      <c r="C193" s="9">
        <v>19</v>
      </c>
      <c r="D193" s="9">
        <v>0</v>
      </c>
      <c r="E193" s="9">
        <v>26</v>
      </c>
      <c r="F193" s="9">
        <f t="shared" si="2"/>
        <v>45</v>
      </c>
      <c r="H193" s="10">
        <v>119.54</v>
      </c>
      <c r="I193" s="10">
        <v>0</v>
      </c>
      <c r="J193" s="10">
        <v>133.71</v>
      </c>
      <c r="K193" s="10">
        <v>128.29</v>
      </c>
      <c r="M193" s="10">
        <v>186.84614999999999</v>
      </c>
      <c r="N193" s="10">
        <v>220.99813</v>
      </c>
      <c r="O193" s="10">
        <v>207.94001999999998</v>
      </c>
      <c r="Q193" s="10">
        <v>1660.13</v>
      </c>
      <c r="R193" s="10">
        <v>1964.16</v>
      </c>
      <c r="S193" s="10">
        <v>1847.91</v>
      </c>
    </row>
    <row r="194" spans="1:19" x14ac:dyDescent="0.2">
      <c r="A194" s="9" t="s">
        <v>388</v>
      </c>
      <c r="B194" s="9" t="s">
        <v>389</v>
      </c>
      <c r="C194" s="9">
        <v>41</v>
      </c>
      <c r="D194" s="9">
        <v>0</v>
      </c>
      <c r="E194" s="9">
        <v>163</v>
      </c>
      <c r="F194" s="9">
        <f t="shared" si="2"/>
        <v>204</v>
      </c>
      <c r="H194" s="10">
        <v>98.85</v>
      </c>
      <c r="I194" s="10">
        <v>0</v>
      </c>
      <c r="J194" s="10">
        <v>96.13</v>
      </c>
      <c r="K194" s="10">
        <v>96.68</v>
      </c>
      <c r="M194" s="10">
        <v>151.45071999999999</v>
      </c>
      <c r="N194" s="10">
        <v>141.51082</v>
      </c>
      <c r="O194" s="10">
        <v>143.52985999999999</v>
      </c>
      <c r="Q194" s="10">
        <v>1586.83</v>
      </c>
      <c r="R194" s="10">
        <v>1716.16</v>
      </c>
      <c r="S194" s="10">
        <v>1689.89</v>
      </c>
    </row>
    <row r="195" spans="1:19" x14ac:dyDescent="0.2">
      <c r="A195" s="1" t="s">
        <v>390</v>
      </c>
      <c r="B195" s="1" t="s">
        <v>391</v>
      </c>
      <c r="C195" s="9">
        <v>12</v>
      </c>
      <c r="D195" s="9">
        <v>0</v>
      </c>
      <c r="E195" s="9">
        <v>208</v>
      </c>
      <c r="F195" s="9">
        <f t="shared" si="2"/>
        <v>220</v>
      </c>
      <c r="H195" s="10">
        <v>100.36</v>
      </c>
      <c r="I195" s="10">
        <v>0</v>
      </c>
      <c r="J195" s="10">
        <v>95.8</v>
      </c>
      <c r="K195" s="10">
        <v>96.1</v>
      </c>
      <c r="M195" s="10">
        <v>92.145350000000008</v>
      </c>
      <c r="N195" s="10">
        <v>72.046030000000002</v>
      </c>
      <c r="O195" s="10">
        <v>73.394159999999999</v>
      </c>
      <c r="Q195" s="10">
        <v>1054.69</v>
      </c>
      <c r="R195" s="10">
        <v>738.78</v>
      </c>
      <c r="S195" s="10">
        <v>759.97</v>
      </c>
    </row>
    <row r="196" spans="1:19" x14ac:dyDescent="0.2">
      <c r="A196" s="1" t="s">
        <v>392</v>
      </c>
      <c r="B196" s="1" t="s">
        <v>393</v>
      </c>
      <c r="C196" s="9">
        <v>1</v>
      </c>
      <c r="D196" s="9">
        <v>0</v>
      </c>
      <c r="E196" s="9">
        <v>108</v>
      </c>
      <c r="F196" s="9">
        <f t="shared" si="2"/>
        <v>109</v>
      </c>
      <c r="H196" s="10">
        <v>78</v>
      </c>
      <c r="I196" s="10">
        <v>0</v>
      </c>
      <c r="J196" s="10">
        <v>80.58</v>
      </c>
      <c r="K196" s="10">
        <v>80.55</v>
      </c>
      <c r="M196" s="10">
        <v>0</v>
      </c>
      <c r="N196" s="10">
        <v>169.80668</v>
      </c>
      <c r="O196" s="10">
        <v>169.58187000000001</v>
      </c>
      <c r="Q196" s="10">
        <v>0</v>
      </c>
      <c r="R196" s="10">
        <v>2305.06</v>
      </c>
      <c r="S196" s="10">
        <v>2300.86</v>
      </c>
    </row>
    <row r="197" spans="1:19" x14ac:dyDescent="0.2">
      <c r="A197" s="1" t="s">
        <v>394</v>
      </c>
      <c r="B197" s="1" t="s">
        <v>395</v>
      </c>
      <c r="C197" s="9">
        <v>0</v>
      </c>
      <c r="D197" s="9">
        <v>0</v>
      </c>
      <c r="E197" s="9">
        <v>45</v>
      </c>
      <c r="F197" s="9">
        <f t="shared" si="2"/>
        <v>45</v>
      </c>
      <c r="H197" s="10">
        <v>0</v>
      </c>
      <c r="I197" s="10">
        <v>0</v>
      </c>
      <c r="J197" s="10">
        <v>103.75</v>
      </c>
      <c r="K197" s="10">
        <v>103.75</v>
      </c>
      <c r="M197" s="10">
        <v>0</v>
      </c>
      <c r="N197" s="10">
        <v>57.168349999999997</v>
      </c>
      <c r="O197" s="10">
        <v>57.168349999999997</v>
      </c>
      <c r="Q197" s="10">
        <v>0</v>
      </c>
      <c r="R197" s="10">
        <v>557.96</v>
      </c>
      <c r="S197" s="10">
        <v>557.96</v>
      </c>
    </row>
    <row r="198" spans="1:19" x14ac:dyDescent="0.2">
      <c r="A198" s="1" t="s">
        <v>396</v>
      </c>
      <c r="B198" s="1" t="s">
        <v>397</v>
      </c>
      <c r="C198" s="9">
        <v>3</v>
      </c>
      <c r="D198" s="9">
        <v>0</v>
      </c>
      <c r="E198" s="9">
        <v>43</v>
      </c>
      <c r="F198" s="9">
        <f t="shared" si="2"/>
        <v>46</v>
      </c>
      <c r="H198" s="10">
        <v>80.67</v>
      </c>
      <c r="I198" s="10">
        <v>0</v>
      </c>
      <c r="J198" s="10">
        <v>97.03</v>
      </c>
      <c r="K198" s="10">
        <v>95.54</v>
      </c>
      <c r="M198" s="10">
        <v>40.353000000000002</v>
      </c>
      <c r="N198" s="10">
        <v>55.068940000000005</v>
      </c>
      <c r="O198" s="10">
        <v>53.689320000000002</v>
      </c>
      <c r="Q198" s="10">
        <v>527.46</v>
      </c>
      <c r="R198" s="10">
        <v>582.41</v>
      </c>
      <c r="S198" s="10">
        <v>577.26</v>
      </c>
    </row>
    <row r="199" spans="1:19" x14ac:dyDescent="0.2">
      <c r="A199" s="1" t="s">
        <v>398</v>
      </c>
      <c r="B199" s="1" t="s">
        <v>399</v>
      </c>
      <c r="C199" s="9">
        <v>0</v>
      </c>
      <c r="D199" s="9">
        <v>0</v>
      </c>
      <c r="E199" s="9">
        <v>74</v>
      </c>
      <c r="F199" s="9">
        <f t="shared" ref="F199:F217" si="3">SUM(C199:E199)</f>
        <v>74</v>
      </c>
      <c r="H199" s="10">
        <v>0</v>
      </c>
      <c r="I199" s="10">
        <v>0</v>
      </c>
      <c r="J199" s="10">
        <v>160.41</v>
      </c>
      <c r="K199" s="10">
        <v>160.41</v>
      </c>
      <c r="M199" s="10">
        <v>0</v>
      </c>
      <c r="N199" s="10">
        <v>240.33971</v>
      </c>
      <c r="O199" s="10">
        <v>240.33971</v>
      </c>
      <c r="Q199" s="10">
        <v>0</v>
      </c>
      <c r="R199" s="10">
        <v>1667.79</v>
      </c>
      <c r="S199" s="10">
        <v>1667.79</v>
      </c>
    </row>
    <row r="200" spans="1:19" x14ac:dyDescent="0.2">
      <c r="A200" s="1" t="s">
        <v>400</v>
      </c>
      <c r="B200" s="1" t="s">
        <v>401</v>
      </c>
      <c r="C200" s="9">
        <v>33</v>
      </c>
      <c r="D200" s="9">
        <v>3</v>
      </c>
      <c r="E200" s="9">
        <v>72</v>
      </c>
      <c r="F200" s="9">
        <f t="shared" si="3"/>
        <v>108</v>
      </c>
      <c r="H200" s="10">
        <v>159.59</v>
      </c>
      <c r="I200" s="10">
        <v>89</v>
      </c>
      <c r="J200" s="10">
        <v>132.44</v>
      </c>
      <c r="K200" s="10">
        <v>140.22999999999999</v>
      </c>
      <c r="M200" s="10">
        <v>213.77259000000001</v>
      </c>
      <c r="N200" s="10">
        <v>206.38201000000001</v>
      </c>
      <c r="O200" s="10">
        <v>208.87633</v>
      </c>
      <c r="Q200" s="10">
        <v>1456.63</v>
      </c>
      <c r="R200" s="10">
        <v>1749.32</v>
      </c>
      <c r="S200" s="10">
        <v>1650.54</v>
      </c>
    </row>
    <row r="201" spans="1:19" x14ac:dyDescent="0.2">
      <c r="A201" s="1" t="s">
        <v>402</v>
      </c>
      <c r="B201" s="1" t="s">
        <v>403</v>
      </c>
      <c r="C201" s="9">
        <v>0</v>
      </c>
      <c r="D201" s="9">
        <v>0</v>
      </c>
      <c r="E201" s="9">
        <v>87</v>
      </c>
      <c r="F201" s="9">
        <f t="shared" si="3"/>
        <v>87</v>
      </c>
      <c r="H201" s="10">
        <v>0</v>
      </c>
      <c r="I201" s="10">
        <v>0</v>
      </c>
      <c r="J201" s="10">
        <v>80.760000000000005</v>
      </c>
      <c r="K201" s="10">
        <v>80.760000000000005</v>
      </c>
      <c r="M201" s="10">
        <v>0</v>
      </c>
      <c r="N201" s="10">
        <v>93.501800000000003</v>
      </c>
      <c r="O201" s="10">
        <v>93.501800000000003</v>
      </c>
      <c r="Q201" s="10">
        <v>0</v>
      </c>
      <c r="R201" s="10">
        <v>1171.4100000000001</v>
      </c>
      <c r="S201" s="10">
        <v>1171.4100000000001</v>
      </c>
    </row>
    <row r="202" spans="1:19" x14ac:dyDescent="0.2">
      <c r="A202" s="1" t="s">
        <v>404</v>
      </c>
      <c r="B202" s="1" t="s">
        <v>405</v>
      </c>
      <c r="C202" s="9">
        <v>8</v>
      </c>
      <c r="D202" s="9">
        <v>0</v>
      </c>
      <c r="E202" s="9">
        <v>36</v>
      </c>
      <c r="F202" s="9">
        <f t="shared" si="3"/>
        <v>44</v>
      </c>
      <c r="H202" s="10">
        <v>90.14</v>
      </c>
      <c r="I202" s="10">
        <v>0</v>
      </c>
      <c r="J202" s="10">
        <v>73.52</v>
      </c>
      <c r="K202" s="10">
        <v>76.75</v>
      </c>
      <c r="M202" s="10">
        <v>128.8296</v>
      </c>
      <c r="N202" s="10">
        <v>124.74932000000001</v>
      </c>
      <c r="O202" s="10">
        <v>125.58938000000001</v>
      </c>
      <c r="Q202" s="10">
        <v>1362.18</v>
      </c>
      <c r="R202" s="10">
        <v>1837.28</v>
      </c>
      <c r="S202" s="10">
        <v>1739.47</v>
      </c>
    </row>
    <row r="203" spans="1:19" x14ac:dyDescent="0.2">
      <c r="A203" s="1" t="s">
        <v>406</v>
      </c>
      <c r="B203" s="1" t="s">
        <v>407</v>
      </c>
      <c r="C203" s="9">
        <v>14</v>
      </c>
      <c r="D203" s="9">
        <v>0</v>
      </c>
      <c r="E203" s="9">
        <v>559</v>
      </c>
      <c r="F203" s="9">
        <f t="shared" si="3"/>
        <v>573</v>
      </c>
      <c r="H203" s="10">
        <v>94.42</v>
      </c>
      <c r="I203" s="10">
        <v>0</v>
      </c>
      <c r="J203" s="10">
        <v>98.08</v>
      </c>
      <c r="K203" s="10">
        <v>98</v>
      </c>
      <c r="M203" s="10">
        <v>123.5</v>
      </c>
      <c r="N203" s="10">
        <v>122.31147999999999</v>
      </c>
      <c r="O203" s="10">
        <v>122.33901</v>
      </c>
      <c r="Q203" s="10">
        <v>1508.55</v>
      </c>
      <c r="R203" s="10">
        <v>1369.58</v>
      </c>
      <c r="S203" s="10">
        <v>1372.8</v>
      </c>
    </row>
    <row r="204" spans="1:19" x14ac:dyDescent="0.2">
      <c r="A204" s="1" t="s">
        <v>408</v>
      </c>
      <c r="B204" s="1" t="s">
        <v>409</v>
      </c>
      <c r="C204" s="9">
        <v>87</v>
      </c>
      <c r="D204" s="9">
        <v>2</v>
      </c>
      <c r="E204" s="9">
        <v>309</v>
      </c>
      <c r="F204" s="9">
        <f t="shared" si="3"/>
        <v>398</v>
      </c>
      <c r="H204" s="10">
        <v>95.23</v>
      </c>
      <c r="I204" s="10">
        <v>67.5</v>
      </c>
      <c r="J204" s="10">
        <v>87.75</v>
      </c>
      <c r="K204" s="10">
        <v>89.33</v>
      </c>
      <c r="M204" s="10">
        <v>181.47325000000001</v>
      </c>
      <c r="N204" s="10">
        <v>125.05008000000001</v>
      </c>
      <c r="O204" s="10">
        <v>138.26211999999998</v>
      </c>
      <c r="Q204" s="10">
        <v>1884.29</v>
      </c>
      <c r="R204" s="10">
        <v>1460.24</v>
      </c>
      <c r="S204" s="10">
        <v>1559.54</v>
      </c>
    </row>
    <row r="205" spans="1:19" x14ac:dyDescent="0.2">
      <c r="A205" s="1" t="s">
        <v>410</v>
      </c>
      <c r="B205" s="1" t="s">
        <v>411</v>
      </c>
      <c r="C205" s="9">
        <v>13</v>
      </c>
      <c r="D205" s="9">
        <v>0</v>
      </c>
      <c r="E205" s="9">
        <v>69</v>
      </c>
      <c r="F205" s="9">
        <f t="shared" si="3"/>
        <v>82</v>
      </c>
      <c r="H205" s="10">
        <v>187.13</v>
      </c>
      <c r="I205" s="10">
        <v>0</v>
      </c>
      <c r="J205" s="10">
        <v>124.23</v>
      </c>
      <c r="K205" s="10">
        <v>132.09</v>
      </c>
      <c r="M205" s="10">
        <v>187.92822000000001</v>
      </c>
      <c r="N205" s="10">
        <v>144.17152999999999</v>
      </c>
      <c r="O205" s="10">
        <v>149.64112</v>
      </c>
      <c r="Q205" s="10">
        <v>1131.94</v>
      </c>
      <c r="R205" s="10">
        <v>1238.72</v>
      </c>
      <c r="S205" s="10">
        <v>1225.3699999999999</v>
      </c>
    </row>
    <row r="206" spans="1:19" x14ac:dyDescent="0.2">
      <c r="A206" s="1" t="s">
        <v>412</v>
      </c>
      <c r="B206" s="1" t="s">
        <v>413</v>
      </c>
      <c r="C206" s="9">
        <v>5</v>
      </c>
      <c r="D206" s="9">
        <v>0</v>
      </c>
      <c r="E206" s="9">
        <v>118</v>
      </c>
      <c r="F206" s="9">
        <f t="shared" si="3"/>
        <v>123</v>
      </c>
      <c r="H206" s="10">
        <v>72.599999999999994</v>
      </c>
      <c r="I206" s="10">
        <v>0</v>
      </c>
      <c r="J206" s="10">
        <v>90.64</v>
      </c>
      <c r="K206" s="10">
        <v>89.71</v>
      </c>
      <c r="M206" s="10">
        <v>149.24</v>
      </c>
      <c r="N206" s="10">
        <v>151.16777999999999</v>
      </c>
      <c r="O206" s="10">
        <v>151.06632000000002</v>
      </c>
      <c r="Q206" s="10">
        <v>2042.41</v>
      </c>
      <c r="R206" s="10">
        <v>1763.5</v>
      </c>
      <c r="S206" s="10">
        <v>1778.18</v>
      </c>
    </row>
    <row r="207" spans="1:19" x14ac:dyDescent="0.2">
      <c r="A207" s="1" t="s">
        <v>414</v>
      </c>
      <c r="B207" s="1" t="s">
        <v>415</v>
      </c>
      <c r="C207" s="9">
        <v>88</v>
      </c>
      <c r="D207" s="9">
        <v>0</v>
      </c>
      <c r="E207" s="9">
        <v>471</v>
      </c>
      <c r="F207" s="9">
        <f t="shared" si="3"/>
        <v>559</v>
      </c>
      <c r="H207" s="10">
        <v>92.27</v>
      </c>
      <c r="I207" s="10">
        <v>0</v>
      </c>
      <c r="J207" s="10">
        <v>81.91</v>
      </c>
      <c r="K207" s="10">
        <v>83.57</v>
      </c>
      <c r="M207" s="10">
        <v>227.46114</v>
      </c>
      <c r="N207" s="10">
        <v>196.9606</v>
      </c>
      <c r="O207" s="10">
        <v>201.90360000000001</v>
      </c>
      <c r="Q207" s="10">
        <v>2455.02</v>
      </c>
      <c r="R207" s="10">
        <v>2456.66</v>
      </c>
      <c r="S207" s="10">
        <v>2456.39</v>
      </c>
    </row>
    <row r="208" spans="1:19" x14ac:dyDescent="0.2">
      <c r="A208" s="1" t="s">
        <v>416</v>
      </c>
      <c r="B208" s="1" t="s">
        <v>417</v>
      </c>
      <c r="C208" s="9">
        <v>0</v>
      </c>
      <c r="D208" s="9">
        <v>0</v>
      </c>
      <c r="E208" s="9">
        <v>42</v>
      </c>
      <c r="F208" s="9">
        <f t="shared" si="3"/>
        <v>42</v>
      </c>
      <c r="H208" s="10">
        <v>0</v>
      </c>
      <c r="I208" s="10">
        <v>0</v>
      </c>
      <c r="J208" s="10">
        <v>152.44</v>
      </c>
      <c r="K208" s="10">
        <v>152.44</v>
      </c>
      <c r="M208" s="10">
        <v>0</v>
      </c>
      <c r="N208" s="10">
        <v>292.60573999999997</v>
      </c>
      <c r="O208" s="10">
        <v>292.60573999999997</v>
      </c>
      <c r="Q208" s="10">
        <v>0</v>
      </c>
      <c r="R208" s="10">
        <v>2115.2600000000002</v>
      </c>
      <c r="S208" s="10">
        <v>2115.2600000000002</v>
      </c>
    </row>
    <row r="209" spans="1:19" x14ac:dyDescent="0.2">
      <c r="A209" s="1" t="s">
        <v>418</v>
      </c>
      <c r="B209" s="1" t="s">
        <v>419</v>
      </c>
      <c r="C209" s="9">
        <v>11</v>
      </c>
      <c r="D209" s="9">
        <v>0</v>
      </c>
      <c r="E209" s="9">
        <v>18</v>
      </c>
      <c r="F209" s="9">
        <f t="shared" si="3"/>
        <v>29</v>
      </c>
      <c r="H209" s="10">
        <v>278.45</v>
      </c>
      <c r="I209" s="10">
        <v>0</v>
      </c>
      <c r="J209" s="10">
        <v>162.28</v>
      </c>
      <c r="K209" s="10">
        <v>206.34</v>
      </c>
      <c r="M209" s="10">
        <v>231.42214999999999</v>
      </c>
      <c r="N209" s="10">
        <v>185.42276000000001</v>
      </c>
      <c r="O209" s="10">
        <v>202.87079999999997</v>
      </c>
      <c r="Q209" s="10">
        <v>914.18</v>
      </c>
      <c r="R209" s="10">
        <v>1187.6300000000001</v>
      </c>
      <c r="S209" s="10">
        <v>1083.9100000000001</v>
      </c>
    </row>
    <row r="210" spans="1:19" x14ac:dyDescent="0.2">
      <c r="A210" s="1" t="s">
        <v>420</v>
      </c>
      <c r="B210" s="1" t="s">
        <v>421</v>
      </c>
      <c r="C210" s="9">
        <v>64</v>
      </c>
      <c r="D210" s="9">
        <v>7</v>
      </c>
      <c r="E210" s="9">
        <v>178</v>
      </c>
      <c r="F210" s="9">
        <f t="shared" si="3"/>
        <v>249</v>
      </c>
      <c r="H210" s="10">
        <v>95.11</v>
      </c>
      <c r="I210" s="10">
        <v>88.29</v>
      </c>
      <c r="J210" s="10">
        <v>92.11</v>
      </c>
      <c r="K210" s="10">
        <v>92.83</v>
      </c>
      <c r="M210" s="10">
        <v>152.82973999999999</v>
      </c>
      <c r="N210" s="10">
        <v>145.45976999999999</v>
      </c>
      <c r="O210" s="10">
        <v>147.93015</v>
      </c>
      <c r="Q210" s="10">
        <v>1650.93</v>
      </c>
      <c r="R210" s="10">
        <v>1583.24</v>
      </c>
      <c r="S210" s="10">
        <v>1605.93</v>
      </c>
    </row>
    <row r="211" spans="1:19" x14ac:dyDescent="0.2">
      <c r="A211" s="1" t="s">
        <v>422</v>
      </c>
      <c r="B211" s="1" t="s">
        <v>423</v>
      </c>
      <c r="C211" s="9">
        <v>15</v>
      </c>
      <c r="D211" s="9">
        <v>0</v>
      </c>
      <c r="E211" s="9">
        <v>76</v>
      </c>
      <c r="F211" s="9">
        <f t="shared" si="3"/>
        <v>91</v>
      </c>
      <c r="H211" s="10">
        <v>107.93</v>
      </c>
      <c r="I211" s="10">
        <v>0</v>
      </c>
      <c r="J211" s="10">
        <v>106.56</v>
      </c>
      <c r="K211" s="10">
        <v>106.8</v>
      </c>
      <c r="M211" s="10">
        <v>72.566670000000002</v>
      </c>
      <c r="N211" s="10">
        <v>94.841300000000004</v>
      </c>
      <c r="O211" s="10">
        <v>90.815759999999997</v>
      </c>
      <c r="Q211" s="10">
        <v>688.95</v>
      </c>
      <c r="R211" s="10">
        <v>922.83</v>
      </c>
      <c r="S211" s="10">
        <v>880.56</v>
      </c>
    </row>
    <row r="212" spans="1:19" x14ac:dyDescent="0.2">
      <c r="A212" s="1" t="s">
        <v>424</v>
      </c>
      <c r="B212" s="1" t="s">
        <v>425</v>
      </c>
      <c r="C212" s="9">
        <v>3</v>
      </c>
      <c r="D212" s="9">
        <v>0</v>
      </c>
      <c r="E212" s="9">
        <v>26</v>
      </c>
      <c r="F212" s="9">
        <f t="shared" si="3"/>
        <v>29</v>
      </c>
      <c r="H212" s="10">
        <v>0</v>
      </c>
      <c r="I212" s="10">
        <v>0</v>
      </c>
      <c r="J212" s="10">
        <v>179.78</v>
      </c>
      <c r="K212" s="10">
        <v>179.78</v>
      </c>
      <c r="M212" s="10">
        <v>0</v>
      </c>
      <c r="N212" s="10">
        <v>313.76087000000001</v>
      </c>
      <c r="O212" s="10">
        <v>313.76087000000001</v>
      </c>
      <c r="Q212" s="10">
        <v>0</v>
      </c>
      <c r="R212" s="10">
        <v>1871.86</v>
      </c>
      <c r="S212" s="10">
        <v>1871.86</v>
      </c>
    </row>
    <row r="213" spans="1:19" x14ac:dyDescent="0.2">
      <c r="A213" s="1" t="s">
        <v>426</v>
      </c>
      <c r="B213" s="1" t="s">
        <v>427</v>
      </c>
      <c r="C213" s="9">
        <v>32</v>
      </c>
      <c r="D213" s="9">
        <v>0</v>
      </c>
      <c r="E213" s="9">
        <v>636</v>
      </c>
      <c r="F213" s="9">
        <f t="shared" si="3"/>
        <v>668</v>
      </c>
      <c r="H213" s="10">
        <v>98.97</v>
      </c>
      <c r="I213" s="10">
        <v>0</v>
      </c>
      <c r="J213" s="10">
        <v>92.38</v>
      </c>
      <c r="K213" s="10">
        <v>92.72</v>
      </c>
      <c r="M213" s="10">
        <v>182.90697</v>
      </c>
      <c r="N213" s="10">
        <v>185.13512</v>
      </c>
      <c r="O213" s="10">
        <v>185.02007</v>
      </c>
      <c r="Q213" s="10">
        <v>2027.9</v>
      </c>
      <c r="R213" s="10">
        <v>2074.9499999999998</v>
      </c>
      <c r="S213" s="10">
        <v>2072.52</v>
      </c>
    </row>
    <row r="214" spans="1:19" x14ac:dyDescent="0.2">
      <c r="A214" s="1" t="s">
        <v>428</v>
      </c>
      <c r="B214" s="1" t="s">
        <v>429</v>
      </c>
      <c r="C214" s="9">
        <v>10</v>
      </c>
      <c r="D214" s="9">
        <v>0</v>
      </c>
      <c r="E214" s="9">
        <v>306</v>
      </c>
      <c r="F214" s="9">
        <f t="shared" si="3"/>
        <v>316</v>
      </c>
      <c r="H214" s="10">
        <v>89.56</v>
      </c>
      <c r="I214" s="10">
        <v>0</v>
      </c>
      <c r="J214" s="10">
        <v>68.13</v>
      </c>
      <c r="K214" s="10">
        <v>68.8</v>
      </c>
      <c r="M214" s="10">
        <v>134.98137</v>
      </c>
      <c r="N214" s="10">
        <v>140.54916</v>
      </c>
      <c r="O214" s="10">
        <v>140.36954999999998</v>
      </c>
      <c r="Q214" s="10">
        <v>1518.96</v>
      </c>
      <c r="R214" s="10">
        <v>2196.08</v>
      </c>
      <c r="S214" s="10">
        <v>2174.2399999999998</v>
      </c>
    </row>
    <row r="215" spans="1:19" x14ac:dyDescent="0.2">
      <c r="A215" s="1" t="s">
        <v>430</v>
      </c>
      <c r="B215" s="1" t="s">
        <v>431</v>
      </c>
      <c r="C215" s="9">
        <v>2</v>
      </c>
      <c r="D215" s="9">
        <v>0</v>
      </c>
      <c r="E215" s="9">
        <v>68</v>
      </c>
      <c r="F215" s="9">
        <f t="shared" si="3"/>
        <v>70</v>
      </c>
      <c r="H215" s="10">
        <v>130</v>
      </c>
      <c r="I215" s="10">
        <v>0</v>
      </c>
      <c r="J215" s="10">
        <v>136.76</v>
      </c>
      <c r="K215" s="10">
        <v>136.66</v>
      </c>
      <c r="M215" s="10">
        <v>0</v>
      </c>
      <c r="N215" s="10">
        <v>256.71125000000001</v>
      </c>
      <c r="O215" s="10">
        <v>256.96571999999998</v>
      </c>
      <c r="Q215" s="10">
        <v>0</v>
      </c>
      <c r="R215" s="10">
        <v>2159.79</v>
      </c>
      <c r="S215" s="10">
        <v>2158.98</v>
      </c>
    </row>
    <row r="216" spans="1:19" x14ac:dyDescent="0.2">
      <c r="A216" s="1" t="s">
        <v>432</v>
      </c>
      <c r="B216" s="1" t="s">
        <v>433</v>
      </c>
      <c r="C216" s="9">
        <v>2</v>
      </c>
      <c r="D216" s="9">
        <v>0</v>
      </c>
      <c r="E216" s="9">
        <v>147</v>
      </c>
      <c r="F216" s="9">
        <f t="shared" si="3"/>
        <v>149</v>
      </c>
      <c r="H216" s="10">
        <v>83.5</v>
      </c>
      <c r="I216" s="10">
        <v>0</v>
      </c>
      <c r="J216" s="10">
        <v>108.97</v>
      </c>
      <c r="K216" s="10">
        <v>108.62</v>
      </c>
      <c r="M216" s="10">
        <v>0</v>
      </c>
      <c r="N216" s="10">
        <v>296.18853000000001</v>
      </c>
      <c r="O216" s="10">
        <v>295.14486999999997</v>
      </c>
      <c r="Q216" s="10">
        <v>0</v>
      </c>
      <c r="R216" s="10">
        <v>2860.79</v>
      </c>
      <c r="S216" s="10">
        <v>2857.84</v>
      </c>
    </row>
    <row r="217" spans="1:19" s="19" customFormat="1" x14ac:dyDescent="0.2">
      <c r="A217" s="15"/>
      <c r="B217" s="16" t="s">
        <v>11</v>
      </c>
      <c r="C217" s="15">
        <v>950</v>
      </c>
      <c r="D217" s="15">
        <v>23</v>
      </c>
      <c r="E217" s="15">
        <v>4552</v>
      </c>
      <c r="F217" s="20">
        <f t="shared" si="3"/>
        <v>5525</v>
      </c>
      <c r="G217" s="15"/>
      <c r="H217" s="18">
        <v>128.13</v>
      </c>
      <c r="I217" s="18">
        <v>95.21</v>
      </c>
      <c r="J217" s="18">
        <v>124.17</v>
      </c>
      <c r="K217" s="18">
        <v>124.71</v>
      </c>
      <c r="L217" s="15"/>
      <c r="M217" s="18">
        <v>163.20833999999999</v>
      </c>
      <c r="N217" s="18">
        <v>165.50809000000001</v>
      </c>
      <c r="O217" s="18">
        <v>165.12270999999998</v>
      </c>
      <c r="P217" s="15"/>
      <c r="Q217" s="18">
        <v>1373.33</v>
      </c>
      <c r="R217" s="18">
        <v>1443.41</v>
      </c>
      <c r="S217" s="18">
        <v>1431.66</v>
      </c>
    </row>
    <row r="219" spans="1:19" x14ac:dyDescent="0.2">
      <c r="B219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256" width="11.42578125" style="1"/>
    <col min="257" max="257" width="11.42578125" style="1" customWidth="1"/>
    <col min="258" max="258" width="35.7109375" style="1" customWidth="1"/>
    <col min="259" max="262" width="10.7109375" style="1" customWidth="1"/>
    <col min="263" max="263" width="2.7109375" style="1" customWidth="1"/>
    <col min="264" max="267" width="10.7109375" style="1" customWidth="1"/>
    <col min="268" max="268" width="2.7109375" style="1" customWidth="1"/>
    <col min="269" max="271" width="10.7109375" style="1" customWidth="1"/>
    <col min="272" max="272" width="2.7109375" style="1" customWidth="1"/>
    <col min="273" max="275" width="10.7109375" style="1" customWidth="1"/>
    <col min="276" max="512" width="11.42578125" style="1"/>
    <col min="513" max="513" width="11.42578125" style="1" customWidth="1"/>
    <col min="514" max="514" width="35.7109375" style="1" customWidth="1"/>
    <col min="515" max="518" width="10.7109375" style="1" customWidth="1"/>
    <col min="519" max="519" width="2.7109375" style="1" customWidth="1"/>
    <col min="520" max="523" width="10.7109375" style="1" customWidth="1"/>
    <col min="524" max="524" width="2.7109375" style="1" customWidth="1"/>
    <col min="525" max="527" width="10.7109375" style="1" customWidth="1"/>
    <col min="528" max="528" width="2.7109375" style="1" customWidth="1"/>
    <col min="529" max="531" width="10.7109375" style="1" customWidth="1"/>
    <col min="532" max="768" width="11.42578125" style="1"/>
    <col min="769" max="769" width="11.42578125" style="1" customWidth="1"/>
    <col min="770" max="770" width="35.7109375" style="1" customWidth="1"/>
    <col min="771" max="774" width="10.7109375" style="1" customWidth="1"/>
    <col min="775" max="775" width="2.7109375" style="1" customWidth="1"/>
    <col min="776" max="779" width="10.7109375" style="1" customWidth="1"/>
    <col min="780" max="780" width="2.7109375" style="1" customWidth="1"/>
    <col min="781" max="783" width="10.7109375" style="1" customWidth="1"/>
    <col min="784" max="784" width="2.7109375" style="1" customWidth="1"/>
    <col min="785" max="787" width="10.7109375" style="1" customWidth="1"/>
    <col min="788" max="1024" width="11.42578125" style="1"/>
    <col min="1025" max="1025" width="11.42578125" style="1" customWidth="1"/>
    <col min="1026" max="1026" width="35.7109375" style="1" customWidth="1"/>
    <col min="1027" max="1030" width="10.7109375" style="1" customWidth="1"/>
    <col min="1031" max="1031" width="2.7109375" style="1" customWidth="1"/>
    <col min="1032" max="1035" width="10.7109375" style="1" customWidth="1"/>
    <col min="1036" max="1036" width="2.7109375" style="1" customWidth="1"/>
    <col min="1037" max="1039" width="10.7109375" style="1" customWidth="1"/>
    <col min="1040" max="1040" width="2.7109375" style="1" customWidth="1"/>
    <col min="1041" max="1043" width="10.7109375" style="1" customWidth="1"/>
    <col min="1044" max="1280" width="11.42578125" style="1"/>
    <col min="1281" max="1281" width="11.42578125" style="1" customWidth="1"/>
    <col min="1282" max="1282" width="35.7109375" style="1" customWidth="1"/>
    <col min="1283" max="1286" width="10.7109375" style="1" customWidth="1"/>
    <col min="1287" max="1287" width="2.7109375" style="1" customWidth="1"/>
    <col min="1288" max="1291" width="10.7109375" style="1" customWidth="1"/>
    <col min="1292" max="1292" width="2.7109375" style="1" customWidth="1"/>
    <col min="1293" max="1295" width="10.7109375" style="1" customWidth="1"/>
    <col min="1296" max="1296" width="2.7109375" style="1" customWidth="1"/>
    <col min="1297" max="1299" width="10.7109375" style="1" customWidth="1"/>
    <col min="1300" max="1536" width="11.42578125" style="1"/>
    <col min="1537" max="1537" width="11.42578125" style="1" customWidth="1"/>
    <col min="1538" max="1538" width="35.7109375" style="1" customWidth="1"/>
    <col min="1539" max="1542" width="10.7109375" style="1" customWidth="1"/>
    <col min="1543" max="1543" width="2.7109375" style="1" customWidth="1"/>
    <col min="1544" max="1547" width="10.7109375" style="1" customWidth="1"/>
    <col min="1548" max="1548" width="2.7109375" style="1" customWidth="1"/>
    <col min="1549" max="1551" width="10.7109375" style="1" customWidth="1"/>
    <col min="1552" max="1552" width="2.7109375" style="1" customWidth="1"/>
    <col min="1553" max="1555" width="10.7109375" style="1" customWidth="1"/>
    <col min="1556" max="1792" width="11.42578125" style="1"/>
    <col min="1793" max="1793" width="11.42578125" style="1" customWidth="1"/>
    <col min="1794" max="1794" width="35.7109375" style="1" customWidth="1"/>
    <col min="1795" max="1798" width="10.7109375" style="1" customWidth="1"/>
    <col min="1799" max="1799" width="2.7109375" style="1" customWidth="1"/>
    <col min="1800" max="1803" width="10.7109375" style="1" customWidth="1"/>
    <col min="1804" max="1804" width="2.7109375" style="1" customWidth="1"/>
    <col min="1805" max="1807" width="10.7109375" style="1" customWidth="1"/>
    <col min="1808" max="1808" width="2.7109375" style="1" customWidth="1"/>
    <col min="1809" max="1811" width="10.7109375" style="1" customWidth="1"/>
    <col min="1812" max="2048" width="11.42578125" style="1"/>
    <col min="2049" max="2049" width="11.42578125" style="1" customWidth="1"/>
    <col min="2050" max="2050" width="35.7109375" style="1" customWidth="1"/>
    <col min="2051" max="2054" width="10.7109375" style="1" customWidth="1"/>
    <col min="2055" max="2055" width="2.7109375" style="1" customWidth="1"/>
    <col min="2056" max="2059" width="10.7109375" style="1" customWidth="1"/>
    <col min="2060" max="2060" width="2.7109375" style="1" customWidth="1"/>
    <col min="2061" max="2063" width="10.7109375" style="1" customWidth="1"/>
    <col min="2064" max="2064" width="2.7109375" style="1" customWidth="1"/>
    <col min="2065" max="2067" width="10.7109375" style="1" customWidth="1"/>
    <col min="2068" max="2304" width="11.42578125" style="1"/>
    <col min="2305" max="2305" width="11.42578125" style="1" customWidth="1"/>
    <col min="2306" max="2306" width="35.7109375" style="1" customWidth="1"/>
    <col min="2307" max="2310" width="10.7109375" style="1" customWidth="1"/>
    <col min="2311" max="2311" width="2.7109375" style="1" customWidth="1"/>
    <col min="2312" max="2315" width="10.7109375" style="1" customWidth="1"/>
    <col min="2316" max="2316" width="2.7109375" style="1" customWidth="1"/>
    <col min="2317" max="2319" width="10.7109375" style="1" customWidth="1"/>
    <col min="2320" max="2320" width="2.7109375" style="1" customWidth="1"/>
    <col min="2321" max="2323" width="10.7109375" style="1" customWidth="1"/>
    <col min="2324" max="2560" width="11.42578125" style="1"/>
    <col min="2561" max="2561" width="11.42578125" style="1" customWidth="1"/>
    <col min="2562" max="2562" width="35.7109375" style="1" customWidth="1"/>
    <col min="2563" max="2566" width="10.7109375" style="1" customWidth="1"/>
    <col min="2567" max="2567" width="2.7109375" style="1" customWidth="1"/>
    <col min="2568" max="2571" width="10.7109375" style="1" customWidth="1"/>
    <col min="2572" max="2572" width="2.7109375" style="1" customWidth="1"/>
    <col min="2573" max="2575" width="10.7109375" style="1" customWidth="1"/>
    <col min="2576" max="2576" width="2.7109375" style="1" customWidth="1"/>
    <col min="2577" max="2579" width="10.7109375" style="1" customWidth="1"/>
    <col min="2580" max="2816" width="11.42578125" style="1"/>
    <col min="2817" max="2817" width="11.42578125" style="1" customWidth="1"/>
    <col min="2818" max="2818" width="35.7109375" style="1" customWidth="1"/>
    <col min="2819" max="2822" width="10.7109375" style="1" customWidth="1"/>
    <col min="2823" max="2823" width="2.7109375" style="1" customWidth="1"/>
    <col min="2824" max="2827" width="10.7109375" style="1" customWidth="1"/>
    <col min="2828" max="2828" width="2.7109375" style="1" customWidth="1"/>
    <col min="2829" max="2831" width="10.7109375" style="1" customWidth="1"/>
    <col min="2832" max="2832" width="2.7109375" style="1" customWidth="1"/>
    <col min="2833" max="2835" width="10.7109375" style="1" customWidth="1"/>
    <col min="2836" max="3072" width="11.42578125" style="1"/>
    <col min="3073" max="3073" width="11.42578125" style="1" customWidth="1"/>
    <col min="3074" max="3074" width="35.7109375" style="1" customWidth="1"/>
    <col min="3075" max="3078" width="10.7109375" style="1" customWidth="1"/>
    <col min="3079" max="3079" width="2.7109375" style="1" customWidth="1"/>
    <col min="3080" max="3083" width="10.7109375" style="1" customWidth="1"/>
    <col min="3084" max="3084" width="2.7109375" style="1" customWidth="1"/>
    <col min="3085" max="3087" width="10.7109375" style="1" customWidth="1"/>
    <col min="3088" max="3088" width="2.7109375" style="1" customWidth="1"/>
    <col min="3089" max="3091" width="10.7109375" style="1" customWidth="1"/>
    <col min="3092" max="3328" width="11.42578125" style="1"/>
    <col min="3329" max="3329" width="11.42578125" style="1" customWidth="1"/>
    <col min="3330" max="3330" width="35.7109375" style="1" customWidth="1"/>
    <col min="3331" max="3334" width="10.7109375" style="1" customWidth="1"/>
    <col min="3335" max="3335" width="2.7109375" style="1" customWidth="1"/>
    <col min="3336" max="3339" width="10.7109375" style="1" customWidth="1"/>
    <col min="3340" max="3340" width="2.7109375" style="1" customWidth="1"/>
    <col min="3341" max="3343" width="10.7109375" style="1" customWidth="1"/>
    <col min="3344" max="3344" width="2.7109375" style="1" customWidth="1"/>
    <col min="3345" max="3347" width="10.7109375" style="1" customWidth="1"/>
    <col min="3348" max="3584" width="11.42578125" style="1"/>
    <col min="3585" max="3585" width="11.42578125" style="1" customWidth="1"/>
    <col min="3586" max="3586" width="35.7109375" style="1" customWidth="1"/>
    <col min="3587" max="3590" width="10.7109375" style="1" customWidth="1"/>
    <col min="3591" max="3591" width="2.7109375" style="1" customWidth="1"/>
    <col min="3592" max="3595" width="10.7109375" style="1" customWidth="1"/>
    <col min="3596" max="3596" width="2.7109375" style="1" customWidth="1"/>
    <col min="3597" max="3599" width="10.7109375" style="1" customWidth="1"/>
    <col min="3600" max="3600" width="2.7109375" style="1" customWidth="1"/>
    <col min="3601" max="3603" width="10.7109375" style="1" customWidth="1"/>
    <col min="3604" max="3840" width="11.42578125" style="1"/>
    <col min="3841" max="3841" width="11.42578125" style="1" customWidth="1"/>
    <col min="3842" max="3842" width="35.7109375" style="1" customWidth="1"/>
    <col min="3843" max="3846" width="10.7109375" style="1" customWidth="1"/>
    <col min="3847" max="3847" width="2.7109375" style="1" customWidth="1"/>
    <col min="3848" max="3851" width="10.7109375" style="1" customWidth="1"/>
    <col min="3852" max="3852" width="2.7109375" style="1" customWidth="1"/>
    <col min="3853" max="3855" width="10.7109375" style="1" customWidth="1"/>
    <col min="3856" max="3856" width="2.7109375" style="1" customWidth="1"/>
    <col min="3857" max="3859" width="10.7109375" style="1" customWidth="1"/>
    <col min="3860" max="4096" width="11.42578125" style="1"/>
    <col min="4097" max="4097" width="11.42578125" style="1" customWidth="1"/>
    <col min="4098" max="4098" width="35.7109375" style="1" customWidth="1"/>
    <col min="4099" max="4102" width="10.7109375" style="1" customWidth="1"/>
    <col min="4103" max="4103" width="2.7109375" style="1" customWidth="1"/>
    <col min="4104" max="4107" width="10.7109375" style="1" customWidth="1"/>
    <col min="4108" max="4108" width="2.7109375" style="1" customWidth="1"/>
    <col min="4109" max="4111" width="10.7109375" style="1" customWidth="1"/>
    <col min="4112" max="4112" width="2.7109375" style="1" customWidth="1"/>
    <col min="4113" max="4115" width="10.7109375" style="1" customWidth="1"/>
    <col min="4116" max="4352" width="11.42578125" style="1"/>
    <col min="4353" max="4353" width="11.42578125" style="1" customWidth="1"/>
    <col min="4354" max="4354" width="35.7109375" style="1" customWidth="1"/>
    <col min="4355" max="4358" width="10.7109375" style="1" customWidth="1"/>
    <col min="4359" max="4359" width="2.7109375" style="1" customWidth="1"/>
    <col min="4360" max="4363" width="10.7109375" style="1" customWidth="1"/>
    <col min="4364" max="4364" width="2.7109375" style="1" customWidth="1"/>
    <col min="4365" max="4367" width="10.7109375" style="1" customWidth="1"/>
    <col min="4368" max="4368" width="2.7109375" style="1" customWidth="1"/>
    <col min="4369" max="4371" width="10.7109375" style="1" customWidth="1"/>
    <col min="4372" max="4608" width="11.42578125" style="1"/>
    <col min="4609" max="4609" width="11.42578125" style="1" customWidth="1"/>
    <col min="4610" max="4610" width="35.7109375" style="1" customWidth="1"/>
    <col min="4611" max="4614" width="10.7109375" style="1" customWidth="1"/>
    <col min="4615" max="4615" width="2.7109375" style="1" customWidth="1"/>
    <col min="4616" max="4619" width="10.7109375" style="1" customWidth="1"/>
    <col min="4620" max="4620" width="2.7109375" style="1" customWidth="1"/>
    <col min="4621" max="4623" width="10.7109375" style="1" customWidth="1"/>
    <col min="4624" max="4624" width="2.7109375" style="1" customWidth="1"/>
    <col min="4625" max="4627" width="10.7109375" style="1" customWidth="1"/>
    <col min="4628" max="4864" width="11.42578125" style="1"/>
    <col min="4865" max="4865" width="11.42578125" style="1" customWidth="1"/>
    <col min="4866" max="4866" width="35.7109375" style="1" customWidth="1"/>
    <col min="4867" max="4870" width="10.7109375" style="1" customWidth="1"/>
    <col min="4871" max="4871" width="2.7109375" style="1" customWidth="1"/>
    <col min="4872" max="4875" width="10.7109375" style="1" customWidth="1"/>
    <col min="4876" max="4876" width="2.7109375" style="1" customWidth="1"/>
    <col min="4877" max="4879" width="10.7109375" style="1" customWidth="1"/>
    <col min="4880" max="4880" width="2.7109375" style="1" customWidth="1"/>
    <col min="4881" max="4883" width="10.7109375" style="1" customWidth="1"/>
    <col min="4884" max="5120" width="11.42578125" style="1"/>
    <col min="5121" max="5121" width="11.42578125" style="1" customWidth="1"/>
    <col min="5122" max="5122" width="35.7109375" style="1" customWidth="1"/>
    <col min="5123" max="5126" width="10.7109375" style="1" customWidth="1"/>
    <col min="5127" max="5127" width="2.7109375" style="1" customWidth="1"/>
    <col min="5128" max="5131" width="10.7109375" style="1" customWidth="1"/>
    <col min="5132" max="5132" width="2.7109375" style="1" customWidth="1"/>
    <col min="5133" max="5135" width="10.7109375" style="1" customWidth="1"/>
    <col min="5136" max="5136" width="2.7109375" style="1" customWidth="1"/>
    <col min="5137" max="5139" width="10.7109375" style="1" customWidth="1"/>
    <col min="5140" max="5376" width="11.42578125" style="1"/>
    <col min="5377" max="5377" width="11.42578125" style="1" customWidth="1"/>
    <col min="5378" max="5378" width="35.7109375" style="1" customWidth="1"/>
    <col min="5379" max="5382" width="10.7109375" style="1" customWidth="1"/>
    <col min="5383" max="5383" width="2.7109375" style="1" customWidth="1"/>
    <col min="5384" max="5387" width="10.7109375" style="1" customWidth="1"/>
    <col min="5388" max="5388" width="2.7109375" style="1" customWidth="1"/>
    <col min="5389" max="5391" width="10.7109375" style="1" customWidth="1"/>
    <col min="5392" max="5392" width="2.7109375" style="1" customWidth="1"/>
    <col min="5393" max="5395" width="10.7109375" style="1" customWidth="1"/>
    <col min="5396" max="5632" width="11.42578125" style="1"/>
    <col min="5633" max="5633" width="11.42578125" style="1" customWidth="1"/>
    <col min="5634" max="5634" width="35.7109375" style="1" customWidth="1"/>
    <col min="5635" max="5638" width="10.7109375" style="1" customWidth="1"/>
    <col min="5639" max="5639" width="2.7109375" style="1" customWidth="1"/>
    <col min="5640" max="5643" width="10.7109375" style="1" customWidth="1"/>
    <col min="5644" max="5644" width="2.7109375" style="1" customWidth="1"/>
    <col min="5645" max="5647" width="10.7109375" style="1" customWidth="1"/>
    <col min="5648" max="5648" width="2.7109375" style="1" customWidth="1"/>
    <col min="5649" max="5651" width="10.7109375" style="1" customWidth="1"/>
    <col min="5652" max="5888" width="11.42578125" style="1"/>
    <col min="5889" max="5889" width="11.42578125" style="1" customWidth="1"/>
    <col min="5890" max="5890" width="35.7109375" style="1" customWidth="1"/>
    <col min="5891" max="5894" width="10.7109375" style="1" customWidth="1"/>
    <col min="5895" max="5895" width="2.7109375" style="1" customWidth="1"/>
    <col min="5896" max="5899" width="10.7109375" style="1" customWidth="1"/>
    <col min="5900" max="5900" width="2.7109375" style="1" customWidth="1"/>
    <col min="5901" max="5903" width="10.7109375" style="1" customWidth="1"/>
    <col min="5904" max="5904" width="2.7109375" style="1" customWidth="1"/>
    <col min="5905" max="5907" width="10.7109375" style="1" customWidth="1"/>
    <col min="5908" max="6144" width="11.42578125" style="1"/>
    <col min="6145" max="6145" width="11.42578125" style="1" customWidth="1"/>
    <col min="6146" max="6146" width="35.7109375" style="1" customWidth="1"/>
    <col min="6147" max="6150" width="10.7109375" style="1" customWidth="1"/>
    <col min="6151" max="6151" width="2.7109375" style="1" customWidth="1"/>
    <col min="6152" max="6155" width="10.7109375" style="1" customWidth="1"/>
    <col min="6156" max="6156" width="2.7109375" style="1" customWidth="1"/>
    <col min="6157" max="6159" width="10.7109375" style="1" customWidth="1"/>
    <col min="6160" max="6160" width="2.7109375" style="1" customWidth="1"/>
    <col min="6161" max="6163" width="10.7109375" style="1" customWidth="1"/>
    <col min="6164" max="6400" width="11.42578125" style="1"/>
    <col min="6401" max="6401" width="11.42578125" style="1" customWidth="1"/>
    <col min="6402" max="6402" width="35.7109375" style="1" customWidth="1"/>
    <col min="6403" max="6406" width="10.7109375" style="1" customWidth="1"/>
    <col min="6407" max="6407" width="2.7109375" style="1" customWidth="1"/>
    <col min="6408" max="6411" width="10.7109375" style="1" customWidth="1"/>
    <col min="6412" max="6412" width="2.7109375" style="1" customWidth="1"/>
    <col min="6413" max="6415" width="10.7109375" style="1" customWidth="1"/>
    <col min="6416" max="6416" width="2.7109375" style="1" customWidth="1"/>
    <col min="6417" max="6419" width="10.7109375" style="1" customWidth="1"/>
    <col min="6420" max="6656" width="11.42578125" style="1"/>
    <col min="6657" max="6657" width="11.42578125" style="1" customWidth="1"/>
    <col min="6658" max="6658" width="35.7109375" style="1" customWidth="1"/>
    <col min="6659" max="6662" width="10.7109375" style="1" customWidth="1"/>
    <col min="6663" max="6663" width="2.7109375" style="1" customWidth="1"/>
    <col min="6664" max="6667" width="10.7109375" style="1" customWidth="1"/>
    <col min="6668" max="6668" width="2.7109375" style="1" customWidth="1"/>
    <col min="6669" max="6671" width="10.7109375" style="1" customWidth="1"/>
    <col min="6672" max="6672" width="2.7109375" style="1" customWidth="1"/>
    <col min="6673" max="6675" width="10.7109375" style="1" customWidth="1"/>
    <col min="6676" max="6912" width="11.42578125" style="1"/>
    <col min="6913" max="6913" width="11.42578125" style="1" customWidth="1"/>
    <col min="6914" max="6914" width="35.7109375" style="1" customWidth="1"/>
    <col min="6915" max="6918" width="10.7109375" style="1" customWidth="1"/>
    <col min="6919" max="6919" width="2.7109375" style="1" customWidth="1"/>
    <col min="6920" max="6923" width="10.7109375" style="1" customWidth="1"/>
    <col min="6924" max="6924" width="2.7109375" style="1" customWidth="1"/>
    <col min="6925" max="6927" width="10.7109375" style="1" customWidth="1"/>
    <col min="6928" max="6928" width="2.7109375" style="1" customWidth="1"/>
    <col min="6929" max="6931" width="10.7109375" style="1" customWidth="1"/>
    <col min="6932" max="7168" width="11.42578125" style="1"/>
    <col min="7169" max="7169" width="11.42578125" style="1" customWidth="1"/>
    <col min="7170" max="7170" width="35.7109375" style="1" customWidth="1"/>
    <col min="7171" max="7174" width="10.7109375" style="1" customWidth="1"/>
    <col min="7175" max="7175" width="2.7109375" style="1" customWidth="1"/>
    <col min="7176" max="7179" width="10.7109375" style="1" customWidth="1"/>
    <col min="7180" max="7180" width="2.7109375" style="1" customWidth="1"/>
    <col min="7181" max="7183" width="10.7109375" style="1" customWidth="1"/>
    <col min="7184" max="7184" width="2.7109375" style="1" customWidth="1"/>
    <col min="7185" max="7187" width="10.7109375" style="1" customWidth="1"/>
    <col min="7188" max="7424" width="11.42578125" style="1"/>
    <col min="7425" max="7425" width="11.42578125" style="1" customWidth="1"/>
    <col min="7426" max="7426" width="35.7109375" style="1" customWidth="1"/>
    <col min="7427" max="7430" width="10.7109375" style="1" customWidth="1"/>
    <col min="7431" max="7431" width="2.7109375" style="1" customWidth="1"/>
    <col min="7432" max="7435" width="10.7109375" style="1" customWidth="1"/>
    <col min="7436" max="7436" width="2.7109375" style="1" customWidth="1"/>
    <col min="7437" max="7439" width="10.7109375" style="1" customWidth="1"/>
    <col min="7440" max="7440" width="2.7109375" style="1" customWidth="1"/>
    <col min="7441" max="7443" width="10.7109375" style="1" customWidth="1"/>
    <col min="7444" max="7680" width="11.42578125" style="1"/>
    <col min="7681" max="7681" width="11.42578125" style="1" customWidth="1"/>
    <col min="7682" max="7682" width="35.7109375" style="1" customWidth="1"/>
    <col min="7683" max="7686" width="10.7109375" style="1" customWidth="1"/>
    <col min="7687" max="7687" width="2.7109375" style="1" customWidth="1"/>
    <col min="7688" max="7691" width="10.7109375" style="1" customWidth="1"/>
    <col min="7692" max="7692" width="2.7109375" style="1" customWidth="1"/>
    <col min="7693" max="7695" width="10.7109375" style="1" customWidth="1"/>
    <col min="7696" max="7696" width="2.7109375" style="1" customWidth="1"/>
    <col min="7697" max="7699" width="10.7109375" style="1" customWidth="1"/>
    <col min="7700" max="7936" width="11.42578125" style="1"/>
    <col min="7937" max="7937" width="11.42578125" style="1" customWidth="1"/>
    <col min="7938" max="7938" width="35.7109375" style="1" customWidth="1"/>
    <col min="7939" max="7942" width="10.7109375" style="1" customWidth="1"/>
    <col min="7943" max="7943" width="2.7109375" style="1" customWidth="1"/>
    <col min="7944" max="7947" width="10.7109375" style="1" customWidth="1"/>
    <col min="7948" max="7948" width="2.7109375" style="1" customWidth="1"/>
    <col min="7949" max="7951" width="10.7109375" style="1" customWidth="1"/>
    <col min="7952" max="7952" width="2.7109375" style="1" customWidth="1"/>
    <col min="7953" max="7955" width="10.7109375" style="1" customWidth="1"/>
    <col min="7956" max="8192" width="11.42578125" style="1"/>
    <col min="8193" max="8193" width="11.42578125" style="1" customWidth="1"/>
    <col min="8194" max="8194" width="35.7109375" style="1" customWidth="1"/>
    <col min="8195" max="8198" width="10.7109375" style="1" customWidth="1"/>
    <col min="8199" max="8199" width="2.7109375" style="1" customWidth="1"/>
    <col min="8200" max="8203" width="10.7109375" style="1" customWidth="1"/>
    <col min="8204" max="8204" width="2.7109375" style="1" customWidth="1"/>
    <col min="8205" max="8207" width="10.7109375" style="1" customWidth="1"/>
    <col min="8208" max="8208" width="2.7109375" style="1" customWidth="1"/>
    <col min="8209" max="8211" width="10.7109375" style="1" customWidth="1"/>
    <col min="8212" max="8448" width="11.42578125" style="1"/>
    <col min="8449" max="8449" width="11.42578125" style="1" customWidth="1"/>
    <col min="8450" max="8450" width="35.7109375" style="1" customWidth="1"/>
    <col min="8451" max="8454" width="10.7109375" style="1" customWidth="1"/>
    <col min="8455" max="8455" width="2.7109375" style="1" customWidth="1"/>
    <col min="8456" max="8459" width="10.7109375" style="1" customWidth="1"/>
    <col min="8460" max="8460" width="2.7109375" style="1" customWidth="1"/>
    <col min="8461" max="8463" width="10.7109375" style="1" customWidth="1"/>
    <col min="8464" max="8464" width="2.7109375" style="1" customWidth="1"/>
    <col min="8465" max="8467" width="10.7109375" style="1" customWidth="1"/>
    <col min="8468" max="8704" width="11.42578125" style="1"/>
    <col min="8705" max="8705" width="11.42578125" style="1" customWidth="1"/>
    <col min="8706" max="8706" width="35.7109375" style="1" customWidth="1"/>
    <col min="8707" max="8710" width="10.7109375" style="1" customWidth="1"/>
    <col min="8711" max="8711" width="2.7109375" style="1" customWidth="1"/>
    <col min="8712" max="8715" width="10.7109375" style="1" customWidth="1"/>
    <col min="8716" max="8716" width="2.7109375" style="1" customWidth="1"/>
    <col min="8717" max="8719" width="10.7109375" style="1" customWidth="1"/>
    <col min="8720" max="8720" width="2.7109375" style="1" customWidth="1"/>
    <col min="8721" max="8723" width="10.7109375" style="1" customWidth="1"/>
    <col min="8724" max="8960" width="11.42578125" style="1"/>
    <col min="8961" max="8961" width="11.42578125" style="1" customWidth="1"/>
    <col min="8962" max="8962" width="35.7109375" style="1" customWidth="1"/>
    <col min="8963" max="8966" width="10.7109375" style="1" customWidth="1"/>
    <col min="8967" max="8967" width="2.7109375" style="1" customWidth="1"/>
    <col min="8968" max="8971" width="10.7109375" style="1" customWidth="1"/>
    <col min="8972" max="8972" width="2.7109375" style="1" customWidth="1"/>
    <col min="8973" max="8975" width="10.7109375" style="1" customWidth="1"/>
    <col min="8976" max="8976" width="2.7109375" style="1" customWidth="1"/>
    <col min="8977" max="8979" width="10.7109375" style="1" customWidth="1"/>
    <col min="8980" max="9216" width="11.42578125" style="1"/>
    <col min="9217" max="9217" width="11.42578125" style="1" customWidth="1"/>
    <col min="9218" max="9218" width="35.7109375" style="1" customWidth="1"/>
    <col min="9219" max="9222" width="10.7109375" style="1" customWidth="1"/>
    <col min="9223" max="9223" width="2.7109375" style="1" customWidth="1"/>
    <col min="9224" max="9227" width="10.7109375" style="1" customWidth="1"/>
    <col min="9228" max="9228" width="2.7109375" style="1" customWidth="1"/>
    <col min="9229" max="9231" width="10.7109375" style="1" customWidth="1"/>
    <col min="9232" max="9232" width="2.7109375" style="1" customWidth="1"/>
    <col min="9233" max="9235" width="10.7109375" style="1" customWidth="1"/>
    <col min="9236" max="9472" width="11.42578125" style="1"/>
    <col min="9473" max="9473" width="11.42578125" style="1" customWidth="1"/>
    <col min="9474" max="9474" width="35.7109375" style="1" customWidth="1"/>
    <col min="9475" max="9478" width="10.7109375" style="1" customWidth="1"/>
    <col min="9479" max="9479" width="2.7109375" style="1" customWidth="1"/>
    <col min="9480" max="9483" width="10.7109375" style="1" customWidth="1"/>
    <col min="9484" max="9484" width="2.7109375" style="1" customWidth="1"/>
    <col min="9485" max="9487" width="10.7109375" style="1" customWidth="1"/>
    <col min="9488" max="9488" width="2.7109375" style="1" customWidth="1"/>
    <col min="9489" max="9491" width="10.7109375" style="1" customWidth="1"/>
    <col min="9492" max="9728" width="11.42578125" style="1"/>
    <col min="9729" max="9729" width="11.42578125" style="1" customWidth="1"/>
    <col min="9730" max="9730" width="35.7109375" style="1" customWidth="1"/>
    <col min="9731" max="9734" width="10.7109375" style="1" customWidth="1"/>
    <col min="9735" max="9735" width="2.7109375" style="1" customWidth="1"/>
    <col min="9736" max="9739" width="10.7109375" style="1" customWidth="1"/>
    <col min="9740" max="9740" width="2.7109375" style="1" customWidth="1"/>
    <col min="9741" max="9743" width="10.7109375" style="1" customWidth="1"/>
    <col min="9744" max="9744" width="2.7109375" style="1" customWidth="1"/>
    <col min="9745" max="9747" width="10.7109375" style="1" customWidth="1"/>
    <col min="9748" max="9984" width="11.42578125" style="1"/>
    <col min="9985" max="9985" width="11.42578125" style="1" customWidth="1"/>
    <col min="9986" max="9986" width="35.7109375" style="1" customWidth="1"/>
    <col min="9987" max="9990" width="10.7109375" style="1" customWidth="1"/>
    <col min="9991" max="9991" width="2.7109375" style="1" customWidth="1"/>
    <col min="9992" max="9995" width="10.7109375" style="1" customWidth="1"/>
    <col min="9996" max="9996" width="2.7109375" style="1" customWidth="1"/>
    <col min="9997" max="9999" width="10.7109375" style="1" customWidth="1"/>
    <col min="10000" max="10000" width="2.7109375" style="1" customWidth="1"/>
    <col min="10001" max="10003" width="10.7109375" style="1" customWidth="1"/>
    <col min="10004" max="10240" width="11.42578125" style="1"/>
    <col min="10241" max="10241" width="11.42578125" style="1" customWidth="1"/>
    <col min="10242" max="10242" width="35.7109375" style="1" customWidth="1"/>
    <col min="10243" max="10246" width="10.7109375" style="1" customWidth="1"/>
    <col min="10247" max="10247" width="2.7109375" style="1" customWidth="1"/>
    <col min="10248" max="10251" width="10.7109375" style="1" customWidth="1"/>
    <col min="10252" max="10252" width="2.7109375" style="1" customWidth="1"/>
    <col min="10253" max="10255" width="10.7109375" style="1" customWidth="1"/>
    <col min="10256" max="10256" width="2.7109375" style="1" customWidth="1"/>
    <col min="10257" max="10259" width="10.7109375" style="1" customWidth="1"/>
    <col min="10260" max="10496" width="11.42578125" style="1"/>
    <col min="10497" max="10497" width="11.42578125" style="1" customWidth="1"/>
    <col min="10498" max="10498" width="35.7109375" style="1" customWidth="1"/>
    <col min="10499" max="10502" width="10.7109375" style="1" customWidth="1"/>
    <col min="10503" max="10503" width="2.7109375" style="1" customWidth="1"/>
    <col min="10504" max="10507" width="10.7109375" style="1" customWidth="1"/>
    <col min="10508" max="10508" width="2.7109375" style="1" customWidth="1"/>
    <col min="10509" max="10511" width="10.7109375" style="1" customWidth="1"/>
    <col min="10512" max="10512" width="2.7109375" style="1" customWidth="1"/>
    <col min="10513" max="10515" width="10.7109375" style="1" customWidth="1"/>
    <col min="10516" max="10752" width="11.42578125" style="1"/>
    <col min="10753" max="10753" width="11.42578125" style="1" customWidth="1"/>
    <col min="10754" max="10754" width="35.7109375" style="1" customWidth="1"/>
    <col min="10755" max="10758" width="10.7109375" style="1" customWidth="1"/>
    <col min="10759" max="10759" width="2.7109375" style="1" customWidth="1"/>
    <col min="10760" max="10763" width="10.7109375" style="1" customWidth="1"/>
    <col min="10764" max="10764" width="2.7109375" style="1" customWidth="1"/>
    <col min="10765" max="10767" width="10.7109375" style="1" customWidth="1"/>
    <col min="10768" max="10768" width="2.7109375" style="1" customWidth="1"/>
    <col min="10769" max="10771" width="10.7109375" style="1" customWidth="1"/>
    <col min="10772" max="11008" width="11.42578125" style="1"/>
    <col min="11009" max="11009" width="11.42578125" style="1" customWidth="1"/>
    <col min="11010" max="11010" width="35.7109375" style="1" customWidth="1"/>
    <col min="11011" max="11014" width="10.7109375" style="1" customWidth="1"/>
    <col min="11015" max="11015" width="2.7109375" style="1" customWidth="1"/>
    <col min="11016" max="11019" width="10.7109375" style="1" customWidth="1"/>
    <col min="11020" max="11020" width="2.7109375" style="1" customWidth="1"/>
    <col min="11021" max="11023" width="10.7109375" style="1" customWidth="1"/>
    <col min="11024" max="11024" width="2.7109375" style="1" customWidth="1"/>
    <col min="11025" max="11027" width="10.7109375" style="1" customWidth="1"/>
    <col min="11028" max="11264" width="11.42578125" style="1"/>
    <col min="11265" max="11265" width="11.42578125" style="1" customWidth="1"/>
    <col min="11266" max="11266" width="35.7109375" style="1" customWidth="1"/>
    <col min="11267" max="11270" width="10.7109375" style="1" customWidth="1"/>
    <col min="11271" max="11271" width="2.7109375" style="1" customWidth="1"/>
    <col min="11272" max="11275" width="10.7109375" style="1" customWidth="1"/>
    <col min="11276" max="11276" width="2.7109375" style="1" customWidth="1"/>
    <col min="11277" max="11279" width="10.7109375" style="1" customWidth="1"/>
    <col min="11280" max="11280" width="2.7109375" style="1" customWidth="1"/>
    <col min="11281" max="11283" width="10.7109375" style="1" customWidth="1"/>
    <col min="11284" max="11520" width="11.42578125" style="1"/>
    <col min="11521" max="11521" width="11.42578125" style="1" customWidth="1"/>
    <col min="11522" max="11522" width="35.7109375" style="1" customWidth="1"/>
    <col min="11523" max="11526" width="10.7109375" style="1" customWidth="1"/>
    <col min="11527" max="11527" width="2.7109375" style="1" customWidth="1"/>
    <col min="11528" max="11531" width="10.7109375" style="1" customWidth="1"/>
    <col min="11532" max="11532" width="2.7109375" style="1" customWidth="1"/>
    <col min="11533" max="11535" width="10.7109375" style="1" customWidth="1"/>
    <col min="11536" max="11536" width="2.7109375" style="1" customWidth="1"/>
    <col min="11537" max="11539" width="10.7109375" style="1" customWidth="1"/>
    <col min="11540" max="11776" width="11.42578125" style="1"/>
    <col min="11777" max="11777" width="11.42578125" style="1" customWidth="1"/>
    <col min="11778" max="11778" width="35.7109375" style="1" customWidth="1"/>
    <col min="11779" max="11782" width="10.7109375" style="1" customWidth="1"/>
    <col min="11783" max="11783" width="2.7109375" style="1" customWidth="1"/>
    <col min="11784" max="11787" width="10.7109375" style="1" customWidth="1"/>
    <col min="11788" max="11788" width="2.7109375" style="1" customWidth="1"/>
    <col min="11789" max="11791" width="10.7109375" style="1" customWidth="1"/>
    <col min="11792" max="11792" width="2.7109375" style="1" customWidth="1"/>
    <col min="11793" max="11795" width="10.7109375" style="1" customWidth="1"/>
    <col min="11796" max="12032" width="11.42578125" style="1"/>
    <col min="12033" max="12033" width="11.42578125" style="1" customWidth="1"/>
    <col min="12034" max="12034" width="35.7109375" style="1" customWidth="1"/>
    <col min="12035" max="12038" width="10.7109375" style="1" customWidth="1"/>
    <col min="12039" max="12039" width="2.7109375" style="1" customWidth="1"/>
    <col min="12040" max="12043" width="10.7109375" style="1" customWidth="1"/>
    <col min="12044" max="12044" width="2.7109375" style="1" customWidth="1"/>
    <col min="12045" max="12047" width="10.7109375" style="1" customWidth="1"/>
    <col min="12048" max="12048" width="2.7109375" style="1" customWidth="1"/>
    <col min="12049" max="12051" width="10.7109375" style="1" customWidth="1"/>
    <col min="12052" max="12288" width="11.42578125" style="1"/>
    <col min="12289" max="12289" width="11.42578125" style="1" customWidth="1"/>
    <col min="12290" max="12290" width="35.7109375" style="1" customWidth="1"/>
    <col min="12291" max="12294" width="10.7109375" style="1" customWidth="1"/>
    <col min="12295" max="12295" width="2.7109375" style="1" customWidth="1"/>
    <col min="12296" max="12299" width="10.7109375" style="1" customWidth="1"/>
    <col min="12300" max="12300" width="2.7109375" style="1" customWidth="1"/>
    <col min="12301" max="12303" width="10.7109375" style="1" customWidth="1"/>
    <col min="12304" max="12304" width="2.7109375" style="1" customWidth="1"/>
    <col min="12305" max="12307" width="10.7109375" style="1" customWidth="1"/>
    <col min="12308" max="12544" width="11.42578125" style="1"/>
    <col min="12545" max="12545" width="11.42578125" style="1" customWidth="1"/>
    <col min="12546" max="12546" width="35.7109375" style="1" customWidth="1"/>
    <col min="12547" max="12550" width="10.7109375" style="1" customWidth="1"/>
    <col min="12551" max="12551" width="2.7109375" style="1" customWidth="1"/>
    <col min="12552" max="12555" width="10.7109375" style="1" customWidth="1"/>
    <col min="12556" max="12556" width="2.7109375" style="1" customWidth="1"/>
    <col min="12557" max="12559" width="10.7109375" style="1" customWidth="1"/>
    <col min="12560" max="12560" width="2.7109375" style="1" customWidth="1"/>
    <col min="12561" max="12563" width="10.7109375" style="1" customWidth="1"/>
    <col min="12564" max="12800" width="11.42578125" style="1"/>
    <col min="12801" max="12801" width="11.42578125" style="1" customWidth="1"/>
    <col min="12802" max="12802" width="35.7109375" style="1" customWidth="1"/>
    <col min="12803" max="12806" width="10.7109375" style="1" customWidth="1"/>
    <col min="12807" max="12807" width="2.7109375" style="1" customWidth="1"/>
    <col min="12808" max="12811" width="10.7109375" style="1" customWidth="1"/>
    <col min="12812" max="12812" width="2.7109375" style="1" customWidth="1"/>
    <col min="12813" max="12815" width="10.7109375" style="1" customWidth="1"/>
    <col min="12816" max="12816" width="2.7109375" style="1" customWidth="1"/>
    <col min="12817" max="12819" width="10.7109375" style="1" customWidth="1"/>
    <col min="12820" max="13056" width="11.42578125" style="1"/>
    <col min="13057" max="13057" width="11.42578125" style="1" customWidth="1"/>
    <col min="13058" max="13058" width="35.7109375" style="1" customWidth="1"/>
    <col min="13059" max="13062" width="10.7109375" style="1" customWidth="1"/>
    <col min="13063" max="13063" width="2.7109375" style="1" customWidth="1"/>
    <col min="13064" max="13067" width="10.7109375" style="1" customWidth="1"/>
    <col min="13068" max="13068" width="2.7109375" style="1" customWidth="1"/>
    <col min="13069" max="13071" width="10.7109375" style="1" customWidth="1"/>
    <col min="13072" max="13072" width="2.7109375" style="1" customWidth="1"/>
    <col min="13073" max="13075" width="10.7109375" style="1" customWidth="1"/>
    <col min="13076" max="13312" width="11.42578125" style="1"/>
    <col min="13313" max="13313" width="11.42578125" style="1" customWidth="1"/>
    <col min="13314" max="13314" width="35.7109375" style="1" customWidth="1"/>
    <col min="13315" max="13318" width="10.7109375" style="1" customWidth="1"/>
    <col min="13319" max="13319" width="2.7109375" style="1" customWidth="1"/>
    <col min="13320" max="13323" width="10.7109375" style="1" customWidth="1"/>
    <col min="13324" max="13324" width="2.7109375" style="1" customWidth="1"/>
    <col min="13325" max="13327" width="10.7109375" style="1" customWidth="1"/>
    <col min="13328" max="13328" width="2.7109375" style="1" customWidth="1"/>
    <col min="13329" max="13331" width="10.7109375" style="1" customWidth="1"/>
    <col min="13332" max="13568" width="11.42578125" style="1"/>
    <col min="13569" max="13569" width="11.42578125" style="1" customWidth="1"/>
    <col min="13570" max="13570" width="35.7109375" style="1" customWidth="1"/>
    <col min="13571" max="13574" width="10.7109375" style="1" customWidth="1"/>
    <col min="13575" max="13575" width="2.7109375" style="1" customWidth="1"/>
    <col min="13576" max="13579" width="10.7109375" style="1" customWidth="1"/>
    <col min="13580" max="13580" width="2.7109375" style="1" customWidth="1"/>
    <col min="13581" max="13583" width="10.7109375" style="1" customWidth="1"/>
    <col min="13584" max="13584" width="2.7109375" style="1" customWidth="1"/>
    <col min="13585" max="13587" width="10.7109375" style="1" customWidth="1"/>
    <col min="13588" max="13824" width="11.42578125" style="1"/>
    <col min="13825" max="13825" width="11.42578125" style="1" customWidth="1"/>
    <col min="13826" max="13826" width="35.7109375" style="1" customWidth="1"/>
    <col min="13827" max="13830" width="10.7109375" style="1" customWidth="1"/>
    <col min="13831" max="13831" width="2.7109375" style="1" customWidth="1"/>
    <col min="13832" max="13835" width="10.7109375" style="1" customWidth="1"/>
    <col min="13836" max="13836" width="2.7109375" style="1" customWidth="1"/>
    <col min="13837" max="13839" width="10.7109375" style="1" customWidth="1"/>
    <col min="13840" max="13840" width="2.7109375" style="1" customWidth="1"/>
    <col min="13841" max="13843" width="10.7109375" style="1" customWidth="1"/>
    <col min="13844" max="14080" width="11.42578125" style="1"/>
    <col min="14081" max="14081" width="11.42578125" style="1" customWidth="1"/>
    <col min="14082" max="14082" width="35.7109375" style="1" customWidth="1"/>
    <col min="14083" max="14086" width="10.7109375" style="1" customWidth="1"/>
    <col min="14087" max="14087" width="2.7109375" style="1" customWidth="1"/>
    <col min="14088" max="14091" width="10.7109375" style="1" customWidth="1"/>
    <col min="14092" max="14092" width="2.7109375" style="1" customWidth="1"/>
    <col min="14093" max="14095" width="10.7109375" style="1" customWidth="1"/>
    <col min="14096" max="14096" width="2.7109375" style="1" customWidth="1"/>
    <col min="14097" max="14099" width="10.7109375" style="1" customWidth="1"/>
    <col min="14100" max="14336" width="11.42578125" style="1"/>
    <col min="14337" max="14337" width="11.42578125" style="1" customWidth="1"/>
    <col min="14338" max="14338" width="35.7109375" style="1" customWidth="1"/>
    <col min="14339" max="14342" width="10.7109375" style="1" customWidth="1"/>
    <col min="14343" max="14343" width="2.7109375" style="1" customWidth="1"/>
    <col min="14344" max="14347" width="10.7109375" style="1" customWidth="1"/>
    <col min="14348" max="14348" width="2.7109375" style="1" customWidth="1"/>
    <col min="14349" max="14351" width="10.7109375" style="1" customWidth="1"/>
    <col min="14352" max="14352" width="2.7109375" style="1" customWidth="1"/>
    <col min="14353" max="14355" width="10.7109375" style="1" customWidth="1"/>
    <col min="14356" max="14592" width="11.42578125" style="1"/>
    <col min="14593" max="14593" width="11.42578125" style="1" customWidth="1"/>
    <col min="14594" max="14594" width="35.7109375" style="1" customWidth="1"/>
    <col min="14595" max="14598" width="10.7109375" style="1" customWidth="1"/>
    <col min="14599" max="14599" width="2.7109375" style="1" customWidth="1"/>
    <col min="14600" max="14603" width="10.7109375" style="1" customWidth="1"/>
    <col min="14604" max="14604" width="2.7109375" style="1" customWidth="1"/>
    <col min="14605" max="14607" width="10.7109375" style="1" customWidth="1"/>
    <col min="14608" max="14608" width="2.7109375" style="1" customWidth="1"/>
    <col min="14609" max="14611" width="10.7109375" style="1" customWidth="1"/>
    <col min="14612" max="14848" width="11.42578125" style="1"/>
    <col min="14849" max="14849" width="11.42578125" style="1" customWidth="1"/>
    <col min="14850" max="14850" width="35.7109375" style="1" customWidth="1"/>
    <col min="14851" max="14854" width="10.7109375" style="1" customWidth="1"/>
    <col min="14855" max="14855" width="2.7109375" style="1" customWidth="1"/>
    <col min="14856" max="14859" width="10.7109375" style="1" customWidth="1"/>
    <col min="14860" max="14860" width="2.7109375" style="1" customWidth="1"/>
    <col min="14861" max="14863" width="10.7109375" style="1" customWidth="1"/>
    <col min="14864" max="14864" width="2.7109375" style="1" customWidth="1"/>
    <col min="14865" max="14867" width="10.7109375" style="1" customWidth="1"/>
    <col min="14868" max="15104" width="11.42578125" style="1"/>
    <col min="15105" max="15105" width="11.42578125" style="1" customWidth="1"/>
    <col min="15106" max="15106" width="35.7109375" style="1" customWidth="1"/>
    <col min="15107" max="15110" width="10.7109375" style="1" customWidth="1"/>
    <col min="15111" max="15111" width="2.7109375" style="1" customWidth="1"/>
    <col min="15112" max="15115" width="10.7109375" style="1" customWidth="1"/>
    <col min="15116" max="15116" width="2.7109375" style="1" customWidth="1"/>
    <col min="15117" max="15119" width="10.7109375" style="1" customWidth="1"/>
    <col min="15120" max="15120" width="2.7109375" style="1" customWidth="1"/>
    <col min="15121" max="15123" width="10.7109375" style="1" customWidth="1"/>
    <col min="15124" max="15360" width="11.42578125" style="1"/>
    <col min="15361" max="15361" width="11.42578125" style="1" customWidth="1"/>
    <col min="15362" max="15362" width="35.7109375" style="1" customWidth="1"/>
    <col min="15363" max="15366" width="10.7109375" style="1" customWidth="1"/>
    <col min="15367" max="15367" width="2.7109375" style="1" customWidth="1"/>
    <col min="15368" max="15371" width="10.7109375" style="1" customWidth="1"/>
    <col min="15372" max="15372" width="2.7109375" style="1" customWidth="1"/>
    <col min="15373" max="15375" width="10.7109375" style="1" customWidth="1"/>
    <col min="15376" max="15376" width="2.7109375" style="1" customWidth="1"/>
    <col min="15377" max="15379" width="10.7109375" style="1" customWidth="1"/>
    <col min="15380" max="15616" width="11.42578125" style="1"/>
    <col min="15617" max="15617" width="11.42578125" style="1" customWidth="1"/>
    <col min="15618" max="15618" width="35.7109375" style="1" customWidth="1"/>
    <col min="15619" max="15622" width="10.7109375" style="1" customWidth="1"/>
    <col min="15623" max="15623" width="2.7109375" style="1" customWidth="1"/>
    <col min="15624" max="15627" width="10.7109375" style="1" customWidth="1"/>
    <col min="15628" max="15628" width="2.7109375" style="1" customWidth="1"/>
    <col min="15629" max="15631" width="10.7109375" style="1" customWidth="1"/>
    <col min="15632" max="15632" width="2.7109375" style="1" customWidth="1"/>
    <col min="15633" max="15635" width="10.7109375" style="1" customWidth="1"/>
    <col min="15636" max="15872" width="11.42578125" style="1"/>
    <col min="15873" max="15873" width="11.42578125" style="1" customWidth="1"/>
    <col min="15874" max="15874" width="35.7109375" style="1" customWidth="1"/>
    <col min="15875" max="15878" width="10.7109375" style="1" customWidth="1"/>
    <col min="15879" max="15879" width="2.7109375" style="1" customWidth="1"/>
    <col min="15880" max="15883" width="10.7109375" style="1" customWidth="1"/>
    <col min="15884" max="15884" width="2.7109375" style="1" customWidth="1"/>
    <col min="15885" max="15887" width="10.7109375" style="1" customWidth="1"/>
    <col min="15888" max="15888" width="2.7109375" style="1" customWidth="1"/>
    <col min="15889" max="15891" width="10.7109375" style="1" customWidth="1"/>
    <col min="15892" max="16128" width="11.42578125" style="1"/>
    <col min="16129" max="16129" width="11.42578125" style="1" customWidth="1"/>
    <col min="16130" max="16130" width="35.7109375" style="1" customWidth="1"/>
    <col min="16131" max="16134" width="10.7109375" style="1" customWidth="1"/>
    <col min="16135" max="16135" width="2.7109375" style="1" customWidth="1"/>
    <col min="16136" max="16139" width="10.7109375" style="1" customWidth="1"/>
    <col min="16140" max="16140" width="2.7109375" style="1" customWidth="1"/>
    <col min="16141" max="16143" width="10.7109375" style="1" customWidth="1"/>
    <col min="16144" max="16144" width="2.7109375" style="1" customWidth="1"/>
    <col min="16145" max="16147" width="10.7109375" style="1" customWidth="1"/>
    <col min="16148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437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59</v>
      </c>
      <c r="F6" s="9">
        <f>SUM(C6:E6)</f>
        <v>59</v>
      </c>
      <c r="H6" s="10">
        <v>0</v>
      </c>
      <c r="I6" s="10">
        <v>0</v>
      </c>
      <c r="J6" s="10">
        <v>125.3</v>
      </c>
      <c r="K6" s="10">
        <v>125.3</v>
      </c>
      <c r="M6" s="10">
        <v>0</v>
      </c>
      <c r="N6" s="10">
        <v>206.70439000000002</v>
      </c>
      <c r="O6" s="10">
        <v>206.70439000000002</v>
      </c>
      <c r="Q6" s="10">
        <v>0</v>
      </c>
      <c r="R6" s="10">
        <v>1820.19</v>
      </c>
      <c r="S6" s="10">
        <v>1820.19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21</v>
      </c>
      <c r="F7" s="9">
        <f t="shared" ref="F7:F70" si="0">SUM(C7:E7)</f>
        <v>21</v>
      </c>
      <c r="H7" s="10">
        <v>0</v>
      </c>
      <c r="I7" s="10">
        <v>0</v>
      </c>
      <c r="J7" s="10">
        <v>92.37</v>
      </c>
      <c r="K7" s="10">
        <v>92.37</v>
      </c>
      <c r="M7" s="10">
        <v>0</v>
      </c>
      <c r="N7" s="10">
        <v>74.207729999999998</v>
      </c>
      <c r="O7" s="10">
        <v>74.207729999999998</v>
      </c>
      <c r="Q7" s="10">
        <v>0</v>
      </c>
      <c r="R7" s="10">
        <v>813.92</v>
      </c>
      <c r="S7" s="10">
        <v>813.92</v>
      </c>
    </row>
    <row r="8" spans="1:19" x14ac:dyDescent="0.2">
      <c r="A8" s="9" t="s">
        <v>18</v>
      </c>
      <c r="B8" s="9" t="s">
        <v>19</v>
      </c>
      <c r="C8" s="9">
        <v>4</v>
      </c>
      <c r="D8" s="9">
        <v>0</v>
      </c>
      <c r="E8" s="9">
        <v>68</v>
      </c>
      <c r="F8" s="9">
        <f t="shared" si="0"/>
        <v>72</v>
      </c>
      <c r="H8" s="10">
        <v>86.67</v>
      </c>
      <c r="I8" s="10">
        <v>0</v>
      </c>
      <c r="J8" s="10">
        <v>103.69</v>
      </c>
      <c r="K8" s="10">
        <v>102.76</v>
      </c>
      <c r="M8" s="10">
        <v>64.599999999999994</v>
      </c>
      <c r="N8" s="10">
        <v>90.698350000000005</v>
      </c>
      <c r="O8" s="10">
        <v>89.248440000000002</v>
      </c>
      <c r="Q8" s="10">
        <v>873.76</v>
      </c>
      <c r="R8" s="10">
        <v>960.74</v>
      </c>
      <c r="S8" s="10">
        <v>955.91</v>
      </c>
    </row>
    <row r="9" spans="1:19" x14ac:dyDescent="0.2">
      <c r="A9" s="9" t="s">
        <v>20</v>
      </c>
      <c r="B9" s="9" t="s">
        <v>21</v>
      </c>
      <c r="C9" s="9">
        <v>12</v>
      </c>
      <c r="D9" s="9">
        <v>0</v>
      </c>
      <c r="E9" s="9">
        <v>38</v>
      </c>
      <c r="F9" s="9">
        <f t="shared" si="0"/>
        <v>50</v>
      </c>
      <c r="H9" s="10">
        <v>70</v>
      </c>
      <c r="I9" s="10">
        <v>0</v>
      </c>
      <c r="J9" s="10">
        <v>89.27</v>
      </c>
      <c r="K9" s="10">
        <v>84.79</v>
      </c>
      <c r="M9" s="10">
        <v>36.563330000000001</v>
      </c>
      <c r="N9" s="10">
        <v>60.848140000000001</v>
      </c>
      <c r="O9" s="10">
        <v>55.200510000000001</v>
      </c>
      <c r="Q9" s="10">
        <v>538.74</v>
      </c>
      <c r="R9" s="10">
        <v>651.80999999999995</v>
      </c>
      <c r="S9" s="10">
        <v>625.51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9</v>
      </c>
      <c r="F10" s="9">
        <f t="shared" si="0"/>
        <v>10</v>
      </c>
      <c r="H10" s="10">
        <v>0</v>
      </c>
      <c r="I10" s="10">
        <v>0</v>
      </c>
      <c r="J10" s="10">
        <v>95.38</v>
      </c>
      <c r="K10" s="10">
        <v>95.38</v>
      </c>
      <c r="M10" s="10">
        <v>0</v>
      </c>
      <c r="N10" s="10">
        <v>98.9375</v>
      </c>
      <c r="O10" s="10">
        <v>98.9375</v>
      </c>
      <c r="Q10" s="10">
        <v>0</v>
      </c>
      <c r="R10" s="10">
        <v>1072.28</v>
      </c>
      <c r="S10" s="10">
        <v>1072.28</v>
      </c>
    </row>
    <row r="11" spans="1:19" x14ac:dyDescent="0.2">
      <c r="A11" s="9" t="s">
        <v>24</v>
      </c>
      <c r="B11" s="9" t="s">
        <v>25</v>
      </c>
      <c r="C11" s="9">
        <v>9</v>
      </c>
      <c r="D11" s="9">
        <v>0</v>
      </c>
      <c r="E11" s="9">
        <v>37</v>
      </c>
      <c r="F11" s="9">
        <f t="shared" si="0"/>
        <v>46</v>
      </c>
      <c r="H11" s="10">
        <v>145.66999999999999</v>
      </c>
      <c r="I11" s="10">
        <v>0</v>
      </c>
      <c r="J11" s="10">
        <v>181.79</v>
      </c>
      <c r="K11" s="10">
        <v>174.05</v>
      </c>
      <c r="M11" s="10">
        <v>425.85310999999996</v>
      </c>
      <c r="N11" s="10">
        <v>437.80518999999998</v>
      </c>
      <c r="O11" s="10">
        <v>435.24403000000001</v>
      </c>
      <c r="Q11" s="10">
        <v>3231.76</v>
      </c>
      <c r="R11" s="10">
        <v>3022.26</v>
      </c>
      <c r="S11" s="10">
        <v>3067.15</v>
      </c>
    </row>
    <row r="12" spans="1:19" x14ac:dyDescent="0.2">
      <c r="A12" s="9" t="s">
        <v>26</v>
      </c>
      <c r="B12" s="9" t="s">
        <v>27</v>
      </c>
      <c r="C12" s="9">
        <v>10</v>
      </c>
      <c r="D12" s="9">
        <v>1</v>
      </c>
      <c r="E12" s="9">
        <v>16</v>
      </c>
      <c r="F12" s="9">
        <f t="shared" si="0"/>
        <v>27</v>
      </c>
      <c r="H12" s="10">
        <v>213.14</v>
      </c>
      <c r="I12" s="10">
        <v>90</v>
      </c>
      <c r="J12" s="10">
        <v>82</v>
      </c>
      <c r="K12" s="10">
        <v>133.44</v>
      </c>
      <c r="M12" s="10">
        <v>92.714289999999991</v>
      </c>
      <c r="N12" s="10">
        <v>62.625</v>
      </c>
      <c r="O12" s="10">
        <v>76.666669999999996</v>
      </c>
      <c r="Q12" s="10">
        <v>437.09</v>
      </c>
      <c r="R12" s="10">
        <v>779.33</v>
      </c>
      <c r="S12" s="10">
        <v>619.62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0</v>
      </c>
      <c r="E13" s="9">
        <v>24</v>
      </c>
      <c r="F13" s="9">
        <f t="shared" si="0"/>
        <v>28</v>
      </c>
      <c r="H13" s="10">
        <v>255</v>
      </c>
      <c r="I13" s="10">
        <v>0</v>
      </c>
      <c r="J13" s="10">
        <v>157.58000000000001</v>
      </c>
      <c r="K13" s="10">
        <v>170.86</v>
      </c>
      <c r="M13" s="10">
        <v>103.429</v>
      </c>
      <c r="N13" s="10">
        <v>168.92104999999998</v>
      </c>
      <c r="O13" s="10">
        <v>159.99032</v>
      </c>
      <c r="Q13" s="10">
        <v>405.6</v>
      </c>
      <c r="R13" s="10">
        <v>1228.53</v>
      </c>
      <c r="S13" s="10">
        <v>1116.31</v>
      </c>
    </row>
    <row r="14" spans="1:19" x14ac:dyDescent="0.2">
      <c r="A14" s="9" t="s">
        <v>30</v>
      </c>
      <c r="B14" s="9" t="s">
        <v>31</v>
      </c>
      <c r="C14" s="9">
        <v>36</v>
      </c>
      <c r="D14" s="9">
        <v>0</v>
      </c>
      <c r="E14" s="9">
        <v>50</v>
      </c>
      <c r="F14" s="9">
        <f t="shared" si="0"/>
        <v>86</v>
      </c>
      <c r="H14" s="10">
        <v>129.63999999999999</v>
      </c>
      <c r="I14" s="10">
        <v>0</v>
      </c>
      <c r="J14" s="10">
        <v>112.41</v>
      </c>
      <c r="K14" s="10">
        <v>119.61</v>
      </c>
      <c r="M14" s="10">
        <v>177.41466</v>
      </c>
      <c r="N14" s="10">
        <v>194.51627999999999</v>
      </c>
      <c r="O14" s="10">
        <v>187.09057999999999</v>
      </c>
      <c r="Q14" s="10">
        <v>1448.68</v>
      </c>
      <c r="R14" s="10">
        <v>1915.92</v>
      </c>
      <c r="S14" s="10">
        <v>1713.04</v>
      </c>
    </row>
    <row r="15" spans="1:19" x14ac:dyDescent="0.2">
      <c r="A15" s="9" t="s">
        <v>32</v>
      </c>
      <c r="B15" s="9" t="s">
        <v>33</v>
      </c>
      <c r="C15" s="9">
        <v>2</v>
      </c>
      <c r="D15" s="9">
        <v>0</v>
      </c>
      <c r="E15" s="9">
        <v>83</v>
      </c>
      <c r="F15" s="9">
        <f t="shared" si="0"/>
        <v>85</v>
      </c>
      <c r="H15" s="10">
        <v>120.5</v>
      </c>
      <c r="I15" s="10">
        <v>0</v>
      </c>
      <c r="J15" s="10">
        <v>94.25</v>
      </c>
      <c r="K15" s="10">
        <v>94.93</v>
      </c>
      <c r="M15" s="10">
        <v>0</v>
      </c>
      <c r="N15" s="10">
        <v>154.88240999999999</v>
      </c>
      <c r="O15" s="10">
        <v>156.67529999999999</v>
      </c>
      <c r="Q15" s="10">
        <v>0</v>
      </c>
      <c r="R15" s="10">
        <v>1753.67</v>
      </c>
      <c r="S15" s="10">
        <v>1754.59</v>
      </c>
    </row>
    <row r="16" spans="1:19" x14ac:dyDescent="0.2">
      <c r="A16" s="9" t="s">
        <v>34</v>
      </c>
      <c r="B16" s="9" t="s">
        <v>35</v>
      </c>
      <c r="C16" s="9">
        <v>11</v>
      </c>
      <c r="D16" s="9">
        <v>0</v>
      </c>
      <c r="E16" s="9">
        <v>35</v>
      </c>
      <c r="F16" s="9">
        <f t="shared" si="0"/>
        <v>46</v>
      </c>
      <c r="H16" s="10">
        <v>198.63</v>
      </c>
      <c r="I16" s="10">
        <v>0</v>
      </c>
      <c r="J16" s="10">
        <v>226.18</v>
      </c>
      <c r="K16" s="10">
        <v>220.93</v>
      </c>
      <c r="M16" s="10">
        <v>244.3</v>
      </c>
      <c r="N16" s="10">
        <v>286.71983</v>
      </c>
      <c r="O16" s="10">
        <v>278.44279</v>
      </c>
      <c r="Q16" s="10">
        <v>1375.99</v>
      </c>
      <c r="R16" s="10">
        <v>1319.48</v>
      </c>
      <c r="S16" s="10">
        <v>1330.51</v>
      </c>
    </row>
    <row r="17" spans="1:19" x14ac:dyDescent="0.2">
      <c r="A17" s="9" t="s">
        <v>36</v>
      </c>
      <c r="B17" s="9" t="s">
        <v>37</v>
      </c>
      <c r="C17" s="9">
        <v>3</v>
      </c>
      <c r="D17" s="9">
        <v>0</v>
      </c>
      <c r="E17" s="9">
        <v>136</v>
      </c>
      <c r="F17" s="9">
        <f t="shared" si="0"/>
        <v>139</v>
      </c>
      <c r="H17" s="10">
        <v>92.67</v>
      </c>
      <c r="I17" s="10">
        <v>0</v>
      </c>
      <c r="J17" s="10">
        <v>93.24</v>
      </c>
      <c r="K17" s="10">
        <v>93.22</v>
      </c>
      <c r="M17" s="10">
        <v>35</v>
      </c>
      <c r="N17" s="10">
        <v>56.434350000000002</v>
      </c>
      <c r="O17" s="10">
        <v>55.677839999999996</v>
      </c>
      <c r="Q17" s="10">
        <v>423.45</v>
      </c>
      <c r="R17" s="10">
        <v>607.62</v>
      </c>
      <c r="S17" s="10">
        <v>601.12</v>
      </c>
    </row>
    <row r="18" spans="1:19" x14ac:dyDescent="0.2">
      <c r="A18" s="9" t="s">
        <v>38</v>
      </c>
      <c r="B18" s="9" t="s">
        <v>39</v>
      </c>
      <c r="C18" s="9">
        <v>6</v>
      </c>
      <c r="D18" s="9">
        <v>0</v>
      </c>
      <c r="E18" s="9">
        <v>17</v>
      </c>
      <c r="F18" s="9">
        <f t="shared" si="0"/>
        <v>23</v>
      </c>
      <c r="H18" s="10">
        <v>92.8</v>
      </c>
      <c r="I18" s="10">
        <v>0</v>
      </c>
      <c r="J18" s="10">
        <v>104.44</v>
      </c>
      <c r="K18" s="10">
        <v>101.67</v>
      </c>
      <c r="M18" s="10">
        <v>73.994</v>
      </c>
      <c r="N18" s="10">
        <v>90.471159999999998</v>
      </c>
      <c r="O18" s="10">
        <v>86.351869999999991</v>
      </c>
      <c r="Q18" s="10">
        <v>825.85</v>
      </c>
      <c r="R18" s="10">
        <v>846.43</v>
      </c>
      <c r="S18" s="10">
        <v>841.28</v>
      </c>
    </row>
    <row r="19" spans="1:19" x14ac:dyDescent="0.2">
      <c r="A19" s="9" t="s">
        <v>40</v>
      </c>
      <c r="B19" s="9" t="s">
        <v>41</v>
      </c>
      <c r="C19" s="9">
        <v>2</v>
      </c>
      <c r="D19" s="9">
        <v>3</v>
      </c>
      <c r="E19" s="9">
        <v>19</v>
      </c>
      <c r="F19" s="9">
        <f t="shared" si="0"/>
        <v>24</v>
      </c>
      <c r="H19" s="10">
        <v>134</v>
      </c>
      <c r="I19" s="10">
        <v>82.67</v>
      </c>
      <c r="J19" s="10">
        <v>90.11</v>
      </c>
      <c r="K19" s="10">
        <v>92.96</v>
      </c>
      <c r="M19" s="10">
        <v>0</v>
      </c>
      <c r="N19" s="10">
        <v>63.136360000000003</v>
      </c>
      <c r="O19" s="10">
        <v>72.726609999999994</v>
      </c>
      <c r="Q19" s="10">
        <v>0</v>
      </c>
      <c r="R19" s="10">
        <v>720.23</v>
      </c>
      <c r="S19" s="10">
        <v>748.84</v>
      </c>
    </row>
    <row r="20" spans="1:19" x14ac:dyDescent="0.2">
      <c r="A20" s="9" t="s">
        <v>42</v>
      </c>
      <c r="B20" s="9" t="s">
        <v>43</v>
      </c>
      <c r="C20" s="9">
        <v>0</v>
      </c>
      <c r="D20" s="9">
        <v>0</v>
      </c>
      <c r="E20" s="9">
        <v>20</v>
      </c>
      <c r="F20" s="9">
        <f t="shared" si="0"/>
        <v>20</v>
      </c>
      <c r="H20" s="10">
        <v>0</v>
      </c>
      <c r="I20" s="10">
        <v>0</v>
      </c>
      <c r="J20" s="10">
        <v>113.5</v>
      </c>
      <c r="K20" s="10">
        <v>113.5</v>
      </c>
      <c r="M20" s="10">
        <v>0</v>
      </c>
      <c r="N20" s="10">
        <v>102.32666999999999</v>
      </c>
      <c r="O20" s="10">
        <v>102.32666999999999</v>
      </c>
      <c r="Q20" s="10">
        <v>0</v>
      </c>
      <c r="R20" s="10">
        <v>891.98</v>
      </c>
      <c r="S20" s="10">
        <v>891.98</v>
      </c>
    </row>
    <row r="21" spans="1:19" x14ac:dyDescent="0.2">
      <c r="A21" s="9" t="s">
        <v>44</v>
      </c>
      <c r="B21" s="9" t="s">
        <v>45</v>
      </c>
      <c r="C21" s="9">
        <v>49</v>
      </c>
      <c r="D21" s="9">
        <v>2</v>
      </c>
      <c r="E21" s="9">
        <v>73</v>
      </c>
      <c r="F21" s="9">
        <f t="shared" si="0"/>
        <v>124</v>
      </c>
      <c r="H21" s="10">
        <v>97.35</v>
      </c>
      <c r="I21" s="10">
        <v>69</v>
      </c>
      <c r="J21" s="10">
        <v>96.49</v>
      </c>
      <c r="K21" s="10">
        <v>96.38</v>
      </c>
      <c r="M21" s="10">
        <v>184.08739000000003</v>
      </c>
      <c r="N21" s="10">
        <v>205.63845000000001</v>
      </c>
      <c r="O21" s="10">
        <v>196.79698999999999</v>
      </c>
      <c r="Q21" s="10">
        <v>1902.48</v>
      </c>
      <c r="R21" s="10">
        <v>2272.2199999999998</v>
      </c>
      <c r="S21" s="10">
        <v>2120.5300000000002</v>
      </c>
    </row>
    <row r="22" spans="1:19" x14ac:dyDescent="0.2">
      <c r="A22" s="9" t="s">
        <v>46</v>
      </c>
      <c r="B22" s="9" t="s">
        <v>47</v>
      </c>
      <c r="C22" s="9">
        <v>25</v>
      </c>
      <c r="D22" s="9">
        <v>1</v>
      </c>
      <c r="E22" s="9">
        <v>50</v>
      </c>
      <c r="F22" s="9">
        <f t="shared" si="0"/>
        <v>76</v>
      </c>
      <c r="H22" s="10">
        <v>71.67</v>
      </c>
      <c r="I22" s="10">
        <v>73</v>
      </c>
      <c r="J22" s="10">
        <v>111.22</v>
      </c>
      <c r="K22" s="10">
        <v>100.19</v>
      </c>
      <c r="M22" s="10">
        <v>116.60975999999999</v>
      </c>
      <c r="N22" s="10">
        <v>199.79767999999999</v>
      </c>
      <c r="O22" s="10">
        <v>177.11007000000001</v>
      </c>
      <c r="Q22" s="10">
        <v>1669.24</v>
      </c>
      <c r="R22" s="10">
        <v>1921</v>
      </c>
      <c r="S22" s="10">
        <v>1852.34</v>
      </c>
    </row>
    <row r="23" spans="1:19" x14ac:dyDescent="0.2">
      <c r="A23" s="9" t="s">
        <v>48</v>
      </c>
      <c r="B23" s="9" t="s">
        <v>49</v>
      </c>
      <c r="C23" s="9">
        <v>20</v>
      </c>
      <c r="D23" s="9">
        <v>0</v>
      </c>
      <c r="E23" s="9">
        <v>47</v>
      </c>
      <c r="F23" s="9">
        <f t="shared" si="0"/>
        <v>67</v>
      </c>
      <c r="H23" s="10">
        <v>134.19999999999999</v>
      </c>
      <c r="I23" s="10">
        <v>0</v>
      </c>
      <c r="J23" s="10">
        <v>126.82</v>
      </c>
      <c r="K23" s="10">
        <v>129.08000000000001</v>
      </c>
      <c r="M23" s="10">
        <v>196.6798</v>
      </c>
      <c r="N23" s="10">
        <v>229.91431</v>
      </c>
      <c r="O23" s="10">
        <v>219.74048000000002</v>
      </c>
      <c r="Q23" s="10">
        <v>1643.38</v>
      </c>
      <c r="R23" s="10">
        <v>2015.3</v>
      </c>
      <c r="S23" s="10">
        <v>1901.45</v>
      </c>
    </row>
    <row r="24" spans="1:19" x14ac:dyDescent="0.2">
      <c r="A24" s="9" t="s">
        <v>50</v>
      </c>
      <c r="B24" s="9" t="s">
        <v>51</v>
      </c>
      <c r="C24" s="9">
        <v>5</v>
      </c>
      <c r="D24" s="9">
        <v>0</v>
      </c>
      <c r="E24" s="9">
        <v>18</v>
      </c>
      <c r="F24" s="9">
        <f t="shared" si="0"/>
        <v>23</v>
      </c>
      <c r="H24" s="10">
        <v>96</v>
      </c>
      <c r="I24" s="10">
        <v>0</v>
      </c>
      <c r="J24" s="10">
        <v>143.94</v>
      </c>
      <c r="K24" s="10">
        <v>137.09</v>
      </c>
      <c r="M24" s="10">
        <v>85.7</v>
      </c>
      <c r="N24" s="10">
        <v>147.43108999999998</v>
      </c>
      <c r="O24" s="10">
        <v>138.61236</v>
      </c>
      <c r="Q24" s="10">
        <v>1309.18</v>
      </c>
      <c r="R24" s="10">
        <v>1083.8599999999999</v>
      </c>
      <c r="S24" s="10">
        <v>1116.05</v>
      </c>
    </row>
    <row r="25" spans="1:19" x14ac:dyDescent="0.2">
      <c r="A25" s="9" t="s">
        <v>52</v>
      </c>
      <c r="B25" s="9" t="s">
        <v>53</v>
      </c>
      <c r="C25" s="9">
        <v>400</v>
      </c>
      <c r="D25" s="9">
        <v>26</v>
      </c>
      <c r="E25" s="9">
        <v>773</v>
      </c>
      <c r="F25" s="9">
        <f t="shared" si="0"/>
        <v>1199</v>
      </c>
      <c r="H25" s="10">
        <v>76.56</v>
      </c>
      <c r="I25" s="10">
        <v>67.44</v>
      </c>
      <c r="J25" s="10">
        <v>71.61</v>
      </c>
      <c r="K25" s="10">
        <v>73.08</v>
      </c>
      <c r="M25" s="10">
        <v>211.91122000000001</v>
      </c>
      <c r="N25" s="10">
        <v>157.47248000000002</v>
      </c>
      <c r="O25" s="10">
        <v>176.08661999999998</v>
      </c>
      <c r="Q25" s="10">
        <v>2704.12</v>
      </c>
      <c r="R25" s="10">
        <v>2155.2600000000002</v>
      </c>
      <c r="S25" s="10">
        <v>2342.9299999999998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5</v>
      </c>
      <c r="E26" s="9">
        <v>34</v>
      </c>
      <c r="F26" s="9">
        <f t="shared" si="0"/>
        <v>39</v>
      </c>
      <c r="H26" s="10">
        <v>0</v>
      </c>
      <c r="I26" s="10">
        <v>84.4</v>
      </c>
      <c r="J26" s="10">
        <v>81.16</v>
      </c>
      <c r="K26" s="10">
        <v>81.61</v>
      </c>
      <c r="M26" s="10">
        <v>0</v>
      </c>
      <c r="N26" s="10">
        <v>116.056</v>
      </c>
      <c r="O26" s="10">
        <v>116.056</v>
      </c>
      <c r="Q26" s="10">
        <v>0</v>
      </c>
      <c r="R26" s="10">
        <v>1361.94</v>
      </c>
      <c r="S26" s="10">
        <v>1361.94</v>
      </c>
    </row>
    <row r="27" spans="1:19" x14ac:dyDescent="0.2">
      <c r="A27" s="9" t="s">
        <v>56</v>
      </c>
      <c r="B27" s="9" t="s">
        <v>57</v>
      </c>
      <c r="C27" s="9">
        <v>0</v>
      </c>
      <c r="D27" s="9">
        <v>0</v>
      </c>
      <c r="E27" s="9">
        <v>44</v>
      </c>
      <c r="F27" s="9">
        <f t="shared" si="0"/>
        <v>44</v>
      </c>
      <c r="H27" s="10">
        <v>0</v>
      </c>
      <c r="I27" s="10">
        <v>0</v>
      </c>
      <c r="J27" s="10">
        <v>79.8</v>
      </c>
      <c r="K27" s="10">
        <v>79.8</v>
      </c>
      <c r="M27" s="10">
        <v>0</v>
      </c>
      <c r="N27" s="10">
        <v>49.574760000000005</v>
      </c>
      <c r="O27" s="10">
        <v>49.574760000000005</v>
      </c>
      <c r="Q27" s="10">
        <v>0</v>
      </c>
      <c r="R27" s="10">
        <v>654.4</v>
      </c>
      <c r="S27" s="10">
        <v>654.4</v>
      </c>
    </row>
    <row r="28" spans="1:19" x14ac:dyDescent="0.2">
      <c r="A28" s="9" t="s">
        <v>58</v>
      </c>
      <c r="B28" s="9" t="s">
        <v>59</v>
      </c>
      <c r="C28" s="9">
        <v>26</v>
      </c>
      <c r="D28" s="9">
        <v>7</v>
      </c>
      <c r="E28" s="9">
        <v>56</v>
      </c>
      <c r="F28" s="9">
        <f t="shared" si="0"/>
        <v>89</v>
      </c>
      <c r="H28" s="10">
        <v>146.52000000000001</v>
      </c>
      <c r="I28" s="10">
        <v>83.6</v>
      </c>
      <c r="J28" s="10">
        <v>105.55</v>
      </c>
      <c r="K28" s="10">
        <v>116.84</v>
      </c>
      <c r="M28" s="10">
        <v>185.44884999999999</v>
      </c>
      <c r="N28" s="10">
        <v>150.65282000000002</v>
      </c>
      <c r="O28" s="10">
        <v>163.26007999999999</v>
      </c>
      <c r="Q28" s="10">
        <v>1356.97</v>
      </c>
      <c r="R28" s="10">
        <v>1518.29</v>
      </c>
      <c r="S28" s="10">
        <v>1459.84</v>
      </c>
    </row>
    <row r="29" spans="1:19" x14ac:dyDescent="0.2">
      <c r="A29" s="9" t="s">
        <v>60</v>
      </c>
      <c r="B29" s="9" t="s">
        <v>61</v>
      </c>
      <c r="C29" s="9">
        <v>37</v>
      </c>
      <c r="D29" s="9">
        <v>0</v>
      </c>
      <c r="E29" s="9">
        <v>189</v>
      </c>
      <c r="F29" s="9">
        <f t="shared" si="0"/>
        <v>226</v>
      </c>
      <c r="H29" s="10">
        <v>106.29</v>
      </c>
      <c r="I29" s="10">
        <v>0</v>
      </c>
      <c r="J29" s="10">
        <v>91.45</v>
      </c>
      <c r="K29" s="10">
        <v>93.88</v>
      </c>
      <c r="M29" s="10">
        <v>229.40714000000003</v>
      </c>
      <c r="N29" s="10">
        <v>176.46782000000002</v>
      </c>
      <c r="O29" s="10">
        <v>186.37625</v>
      </c>
      <c r="Q29" s="10">
        <v>2222.71</v>
      </c>
      <c r="R29" s="10">
        <v>2014.68</v>
      </c>
      <c r="S29" s="10">
        <v>2053.62</v>
      </c>
    </row>
    <row r="30" spans="1:19" x14ac:dyDescent="0.2">
      <c r="A30" s="9" t="s">
        <v>62</v>
      </c>
      <c r="B30" s="9" t="s">
        <v>63</v>
      </c>
      <c r="C30" s="9">
        <v>646</v>
      </c>
      <c r="D30" s="9">
        <v>24</v>
      </c>
      <c r="E30" s="9">
        <v>6549</v>
      </c>
      <c r="F30" s="9">
        <f t="shared" si="0"/>
        <v>7219</v>
      </c>
      <c r="H30" s="10">
        <v>90.64</v>
      </c>
      <c r="I30" s="10">
        <v>75.569999999999993</v>
      </c>
      <c r="J30" s="10">
        <v>78.02</v>
      </c>
      <c r="K30" s="10">
        <v>79.16</v>
      </c>
      <c r="M30" s="10">
        <v>452.72861999999998</v>
      </c>
      <c r="N30" s="10">
        <v>350.62468999999999</v>
      </c>
      <c r="O30" s="10">
        <v>363.40152</v>
      </c>
      <c r="Q30" s="10">
        <v>4645.6400000000003</v>
      </c>
      <c r="R30" s="10">
        <v>4070.28</v>
      </c>
      <c r="S30" s="10">
        <v>4142.28</v>
      </c>
    </row>
    <row r="31" spans="1:19" x14ac:dyDescent="0.2">
      <c r="A31" s="9" t="s">
        <v>64</v>
      </c>
      <c r="B31" s="9" t="s">
        <v>65</v>
      </c>
      <c r="C31" s="9">
        <v>2</v>
      </c>
      <c r="D31" s="9">
        <v>0</v>
      </c>
      <c r="E31" s="9">
        <v>29</v>
      </c>
      <c r="F31" s="9">
        <f t="shared" si="0"/>
        <v>31</v>
      </c>
      <c r="H31" s="10">
        <v>280</v>
      </c>
      <c r="I31" s="10">
        <v>0</v>
      </c>
      <c r="J31" s="10">
        <v>172.65</v>
      </c>
      <c r="K31" s="10">
        <v>176.63</v>
      </c>
      <c r="M31" s="10">
        <v>0</v>
      </c>
      <c r="N31" s="10">
        <v>324.62040999999999</v>
      </c>
      <c r="O31" s="10">
        <v>326.48632000000003</v>
      </c>
      <c r="Q31" s="10">
        <v>0</v>
      </c>
      <c r="R31" s="10">
        <v>2052.0500000000002</v>
      </c>
      <c r="S31" s="10">
        <v>2025.65</v>
      </c>
    </row>
    <row r="32" spans="1:19" x14ac:dyDescent="0.2">
      <c r="A32" s="9" t="s">
        <v>435</v>
      </c>
      <c r="B32" s="9" t="s">
        <v>436</v>
      </c>
      <c r="C32" s="9">
        <v>3</v>
      </c>
      <c r="D32" s="9">
        <v>0</v>
      </c>
      <c r="E32" s="9">
        <v>18</v>
      </c>
      <c r="F32" s="9">
        <f t="shared" si="0"/>
        <v>21</v>
      </c>
      <c r="H32" s="10">
        <v>90</v>
      </c>
      <c r="I32" s="10">
        <v>0</v>
      </c>
      <c r="J32" s="10">
        <v>106.17</v>
      </c>
      <c r="K32" s="10">
        <v>104.93</v>
      </c>
      <c r="M32" s="10">
        <v>55</v>
      </c>
      <c r="N32" s="10">
        <v>79.907139999999998</v>
      </c>
      <c r="O32" s="10">
        <v>77.83153999999999</v>
      </c>
      <c r="Q32" s="10">
        <v>611.11</v>
      </c>
      <c r="R32" s="10">
        <v>755.47</v>
      </c>
      <c r="S32" s="10">
        <v>743.44</v>
      </c>
    </row>
    <row r="33" spans="1:19" x14ac:dyDescent="0.2">
      <c r="A33" s="9" t="s">
        <v>66</v>
      </c>
      <c r="B33" s="9" t="s">
        <v>67</v>
      </c>
      <c r="C33" s="9">
        <v>5</v>
      </c>
      <c r="D33" s="9">
        <v>0</v>
      </c>
      <c r="E33" s="9">
        <v>51</v>
      </c>
      <c r="F33" s="9">
        <f t="shared" si="0"/>
        <v>56</v>
      </c>
      <c r="H33" s="10">
        <v>66.67</v>
      </c>
      <c r="I33" s="10">
        <v>0</v>
      </c>
      <c r="J33" s="10">
        <v>86.79</v>
      </c>
      <c r="K33" s="10">
        <v>85.61</v>
      </c>
      <c r="M33" s="10">
        <v>105.66667</v>
      </c>
      <c r="N33" s="10">
        <v>83.560100000000006</v>
      </c>
      <c r="O33" s="10">
        <v>84.886490000000009</v>
      </c>
      <c r="Q33" s="10">
        <v>1499.51</v>
      </c>
      <c r="R33" s="10">
        <v>991.79</v>
      </c>
      <c r="S33" s="10">
        <v>1022.25</v>
      </c>
    </row>
    <row r="34" spans="1:19" x14ac:dyDescent="0.2">
      <c r="A34" s="9" t="s">
        <v>68</v>
      </c>
      <c r="B34" s="9" t="s">
        <v>69</v>
      </c>
      <c r="C34" s="9">
        <v>17</v>
      </c>
      <c r="D34" s="9">
        <v>0</v>
      </c>
      <c r="E34" s="9">
        <v>61</v>
      </c>
      <c r="F34" s="9">
        <f t="shared" si="0"/>
        <v>78</v>
      </c>
      <c r="H34" s="10">
        <v>121.42</v>
      </c>
      <c r="I34" s="10">
        <v>0</v>
      </c>
      <c r="J34" s="10">
        <v>178.33</v>
      </c>
      <c r="K34" s="10">
        <v>168.57</v>
      </c>
      <c r="M34" s="10">
        <v>174.12517000000003</v>
      </c>
      <c r="N34" s="10">
        <v>199.8296</v>
      </c>
      <c r="O34" s="10">
        <v>195.42313000000001</v>
      </c>
      <c r="Q34" s="10">
        <v>1577.83</v>
      </c>
      <c r="R34" s="10">
        <v>1273.43</v>
      </c>
      <c r="S34" s="10">
        <v>1325.61</v>
      </c>
    </row>
    <row r="35" spans="1:19" x14ac:dyDescent="0.2">
      <c r="A35" s="9" t="s">
        <v>70</v>
      </c>
      <c r="B35" s="9" t="s">
        <v>71</v>
      </c>
      <c r="C35" s="9">
        <v>12</v>
      </c>
      <c r="D35" s="9">
        <v>1</v>
      </c>
      <c r="E35" s="9">
        <v>42</v>
      </c>
      <c r="F35" s="9">
        <f t="shared" si="0"/>
        <v>55</v>
      </c>
      <c r="H35" s="10">
        <v>97.83</v>
      </c>
      <c r="I35" s="10">
        <v>0</v>
      </c>
      <c r="J35" s="10">
        <v>109.21</v>
      </c>
      <c r="K35" s="10">
        <v>106.68</v>
      </c>
      <c r="M35" s="10">
        <v>110.58333</v>
      </c>
      <c r="N35" s="10">
        <v>96.112539999999996</v>
      </c>
      <c r="O35" s="10">
        <v>99.51742999999999</v>
      </c>
      <c r="Q35" s="10">
        <v>1184.75</v>
      </c>
      <c r="R35" s="10">
        <v>984.42</v>
      </c>
      <c r="S35" s="10">
        <v>1031.56</v>
      </c>
    </row>
    <row r="36" spans="1:19" x14ac:dyDescent="0.2">
      <c r="A36" s="9" t="s">
        <v>72</v>
      </c>
      <c r="B36" s="9" t="s">
        <v>73</v>
      </c>
      <c r="C36" s="9">
        <v>14</v>
      </c>
      <c r="D36" s="9">
        <v>0</v>
      </c>
      <c r="E36" s="9">
        <v>238</v>
      </c>
      <c r="F36" s="9">
        <f t="shared" si="0"/>
        <v>252</v>
      </c>
      <c r="H36" s="10">
        <v>111.43</v>
      </c>
      <c r="I36" s="10">
        <v>0</v>
      </c>
      <c r="J36" s="10">
        <v>77.760000000000005</v>
      </c>
      <c r="K36" s="10">
        <v>78.88</v>
      </c>
      <c r="M36" s="10">
        <v>270.47078000000005</v>
      </c>
      <c r="N36" s="10">
        <v>140.36742999999998</v>
      </c>
      <c r="O36" s="10">
        <v>144.74591000000001</v>
      </c>
      <c r="Q36" s="10">
        <v>2357.56</v>
      </c>
      <c r="R36" s="10">
        <v>1874.5</v>
      </c>
      <c r="S36" s="10">
        <v>1890.76</v>
      </c>
    </row>
    <row r="37" spans="1:19" x14ac:dyDescent="0.2">
      <c r="A37" s="9" t="s">
        <v>74</v>
      </c>
      <c r="B37" s="9" t="s">
        <v>75</v>
      </c>
      <c r="C37" s="9">
        <v>4</v>
      </c>
      <c r="D37" s="9">
        <v>0</v>
      </c>
      <c r="E37" s="9">
        <v>18</v>
      </c>
      <c r="F37" s="9">
        <f t="shared" si="0"/>
        <v>22</v>
      </c>
      <c r="H37" s="10">
        <v>174.25</v>
      </c>
      <c r="I37" s="10">
        <v>0</v>
      </c>
      <c r="J37" s="10">
        <v>139.18</v>
      </c>
      <c r="K37" s="10">
        <v>148.53</v>
      </c>
      <c r="M37" s="10">
        <v>119.625</v>
      </c>
      <c r="N37" s="10">
        <v>96.806240000000003</v>
      </c>
      <c r="O37" s="10">
        <v>104.41249000000001</v>
      </c>
      <c r="Q37" s="10">
        <v>678.38</v>
      </c>
      <c r="R37" s="10">
        <v>563.96</v>
      </c>
      <c r="S37" s="10">
        <v>602.1</v>
      </c>
    </row>
    <row r="38" spans="1:19" x14ac:dyDescent="0.2">
      <c r="A38" s="9" t="s">
        <v>76</v>
      </c>
      <c r="B38" s="9" t="s">
        <v>77</v>
      </c>
      <c r="C38" s="9">
        <v>0</v>
      </c>
      <c r="D38" s="9">
        <v>0</v>
      </c>
      <c r="E38" s="9">
        <v>51</v>
      </c>
      <c r="F38" s="9">
        <f t="shared" si="0"/>
        <v>51</v>
      </c>
      <c r="H38" s="10">
        <v>0</v>
      </c>
      <c r="I38" s="10">
        <v>0</v>
      </c>
      <c r="J38" s="10">
        <v>218.49</v>
      </c>
      <c r="K38" s="10">
        <v>218.49</v>
      </c>
      <c r="M38" s="10">
        <v>0</v>
      </c>
      <c r="N38" s="10">
        <v>413.05771000000004</v>
      </c>
      <c r="O38" s="10">
        <v>413.05771000000004</v>
      </c>
      <c r="Q38" s="10">
        <v>0</v>
      </c>
      <c r="R38" s="10">
        <v>2125.23</v>
      </c>
      <c r="S38" s="10">
        <v>2125.23</v>
      </c>
    </row>
    <row r="39" spans="1:19" x14ac:dyDescent="0.2">
      <c r="A39" s="9" t="s">
        <v>78</v>
      </c>
      <c r="B39" s="9" t="s">
        <v>79</v>
      </c>
      <c r="C39" s="9">
        <v>80</v>
      </c>
      <c r="D39" s="9">
        <v>2</v>
      </c>
      <c r="E39" s="9">
        <v>171</v>
      </c>
      <c r="F39" s="9">
        <f t="shared" si="0"/>
        <v>253</v>
      </c>
      <c r="H39" s="10">
        <v>96.72</v>
      </c>
      <c r="I39" s="10">
        <v>61.5</v>
      </c>
      <c r="J39" s="10">
        <v>79.37</v>
      </c>
      <c r="K39" s="10">
        <v>84.53</v>
      </c>
      <c r="M39" s="10">
        <v>148.93351000000001</v>
      </c>
      <c r="N39" s="10">
        <v>115.36444999999999</v>
      </c>
      <c r="O39" s="10">
        <v>125.52351</v>
      </c>
      <c r="Q39" s="10">
        <v>1659.19</v>
      </c>
      <c r="R39" s="10">
        <v>1579.11</v>
      </c>
      <c r="S39" s="10">
        <v>1603.34</v>
      </c>
    </row>
    <row r="40" spans="1:19" x14ac:dyDescent="0.2">
      <c r="A40" s="9" t="s">
        <v>80</v>
      </c>
      <c r="B40" s="9" t="s">
        <v>81</v>
      </c>
      <c r="C40" s="9">
        <v>9</v>
      </c>
      <c r="D40" s="9">
        <v>0</v>
      </c>
      <c r="E40" s="9">
        <v>39</v>
      </c>
      <c r="F40" s="9">
        <f t="shared" si="0"/>
        <v>48</v>
      </c>
      <c r="H40" s="10">
        <v>126.89</v>
      </c>
      <c r="I40" s="10">
        <v>0</v>
      </c>
      <c r="J40" s="10">
        <v>148.41999999999999</v>
      </c>
      <c r="K40" s="10">
        <v>143.81</v>
      </c>
      <c r="M40" s="10">
        <v>410.90467999999998</v>
      </c>
      <c r="N40" s="10">
        <v>320.69598999999999</v>
      </c>
      <c r="O40" s="10">
        <v>340.02641999999997</v>
      </c>
      <c r="Q40" s="10">
        <v>2677.63</v>
      </c>
      <c r="R40" s="10">
        <v>1893.39</v>
      </c>
      <c r="S40" s="10">
        <v>2061.44</v>
      </c>
    </row>
    <row r="41" spans="1:19" x14ac:dyDescent="0.2">
      <c r="A41" s="9" t="s">
        <v>82</v>
      </c>
      <c r="B41" s="9" t="s">
        <v>83</v>
      </c>
      <c r="C41" s="9">
        <v>21</v>
      </c>
      <c r="D41" s="9">
        <v>0</v>
      </c>
      <c r="E41" s="9">
        <v>70</v>
      </c>
      <c r="F41" s="9">
        <f t="shared" si="0"/>
        <v>91</v>
      </c>
      <c r="H41" s="10">
        <v>110.28</v>
      </c>
      <c r="I41" s="10">
        <v>0</v>
      </c>
      <c r="J41" s="10">
        <v>152.30000000000001</v>
      </c>
      <c r="K41" s="10">
        <v>143.30000000000001</v>
      </c>
      <c r="M41" s="10">
        <v>148.35933</v>
      </c>
      <c r="N41" s="10">
        <v>225.28769</v>
      </c>
      <c r="O41" s="10">
        <v>208.80304000000001</v>
      </c>
      <c r="Q41" s="10">
        <v>1734.58</v>
      </c>
      <c r="R41" s="10">
        <v>1656.35</v>
      </c>
      <c r="S41" s="10">
        <v>1673.11</v>
      </c>
    </row>
    <row r="42" spans="1:19" x14ac:dyDescent="0.2">
      <c r="A42" s="9" t="s">
        <v>84</v>
      </c>
      <c r="B42" s="9" t="s">
        <v>85</v>
      </c>
      <c r="C42" s="9">
        <v>38</v>
      </c>
      <c r="D42" s="9">
        <v>0</v>
      </c>
      <c r="E42" s="9">
        <v>117</v>
      </c>
      <c r="F42" s="9">
        <f t="shared" si="0"/>
        <v>155</v>
      </c>
      <c r="H42" s="10">
        <v>86.4</v>
      </c>
      <c r="I42" s="10">
        <v>0</v>
      </c>
      <c r="J42" s="10">
        <v>78.13</v>
      </c>
      <c r="K42" s="10">
        <v>80.150000000000006</v>
      </c>
      <c r="M42" s="10">
        <v>169.41394</v>
      </c>
      <c r="N42" s="10">
        <v>159.40845999999999</v>
      </c>
      <c r="O42" s="10">
        <v>161.94607999999999</v>
      </c>
      <c r="Q42" s="10">
        <v>2014.43</v>
      </c>
      <c r="R42" s="10">
        <v>2095.4499999999998</v>
      </c>
      <c r="S42" s="10">
        <v>2074.9</v>
      </c>
    </row>
    <row r="43" spans="1:19" x14ac:dyDescent="0.2">
      <c r="A43" s="9" t="s">
        <v>86</v>
      </c>
      <c r="B43" s="9" t="s">
        <v>87</v>
      </c>
      <c r="C43" s="9">
        <v>29</v>
      </c>
      <c r="D43" s="9">
        <v>0</v>
      </c>
      <c r="E43" s="9">
        <v>137</v>
      </c>
      <c r="F43" s="9">
        <f t="shared" si="0"/>
        <v>166</v>
      </c>
      <c r="H43" s="10">
        <v>120.42</v>
      </c>
      <c r="I43" s="10">
        <v>0</v>
      </c>
      <c r="J43" s="10">
        <v>107.39</v>
      </c>
      <c r="K43" s="10">
        <v>109.58</v>
      </c>
      <c r="M43" s="10">
        <v>173.10135</v>
      </c>
      <c r="N43" s="10">
        <v>210.3056</v>
      </c>
      <c r="O43" s="10">
        <v>203.89957000000001</v>
      </c>
      <c r="Q43" s="10">
        <v>1693.63</v>
      </c>
      <c r="R43" s="10">
        <v>2038.28</v>
      </c>
      <c r="S43" s="10">
        <v>1978.94</v>
      </c>
    </row>
    <row r="44" spans="1:19" x14ac:dyDescent="0.2">
      <c r="A44" s="9" t="s">
        <v>88</v>
      </c>
      <c r="B44" s="9" t="s">
        <v>89</v>
      </c>
      <c r="C44" s="9">
        <v>6</v>
      </c>
      <c r="D44" s="9">
        <v>0</v>
      </c>
      <c r="E44" s="9">
        <v>322</v>
      </c>
      <c r="F44" s="9">
        <f t="shared" si="0"/>
        <v>328</v>
      </c>
      <c r="H44" s="10">
        <v>183.83</v>
      </c>
      <c r="I44" s="10">
        <v>0</v>
      </c>
      <c r="J44" s="10">
        <v>96.21</v>
      </c>
      <c r="K44" s="10">
        <v>98.02</v>
      </c>
      <c r="M44" s="10">
        <v>431.30390999999997</v>
      </c>
      <c r="N44" s="10">
        <v>162.78716</v>
      </c>
      <c r="O44" s="10">
        <v>168.40074999999999</v>
      </c>
      <c r="Q44" s="10">
        <v>2198.38</v>
      </c>
      <c r="R44" s="10">
        <v>1855.97</v>
      </c>
      <c r="S44" s="10">
        <v>1863.13</v>
      </c>
    </row>
    <row r="45" spans="1:19" x14ac:dyDescent="0.2">
      <c r="A45" s="9" t="s">
        <v>90</v>
      </c>
      <c r="B45" s="9" t="s">
        <v>91</v>
      </c>
      <c r="C45" s="9">
        <v>32</v>
      </c>
      <c r="D45" s="9">
        <v>1</v>
      </c>
      <c r="E45" s="9">
        <v>73</v>
      </c>
      <c r="F45" s="9">
        <f t="shared" si="0"/>
        <v>106</v>
      </c>
      <c r="H45" s="10">
        <v>101.78</v>
      </c>
      <c r="I45" s="10">
        <v>90</v>
      </c>
      <c r="J45" s="10">
        <v>86.89</v>
      </c>
      <c r="K45" s="10">
        <v>91.5</v>
      </c>
      <c r="M45" s="10">
        <v>213.22417999999999</v>
      </c>
      <c r="N45" s="10">
        <v>169.34997000000001</v>
      </c>
      <c r="O45" s="10">
        <v>183.11443</v>
      </c>
      <c r="Q45" s="10">
        <v>2169.13</v>
      </c>
      <c r="R45" s="10">
        <v>1911.69</v>
      </c>
      <c r="S45" s="10">
        <v>1992.46</v>
      </c>
    </row>
    <row r="46" spans="1:19" x14ac:dyDescent="0.2">
      <c r="A46" s="9" t="s">
        <v>92</v>
      </c>
      <c r="B46" s="9" t="s">
        <v>93</v>
      </c>
      <c r="C46" s="9">
        <v>0</v>
      </c>
      <c r="D46" s="9">
        <v>0</v>
      </c>
      <c r="E46" s="9">
        <v>0</v>
      </c>
      <c r="F46" s="9">
        <f t="shared" si="0"/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10">
        <v>0</v>
      </c>
      <c r="R46" s="10">
        <v>0</v>
      </c>
      <c r="S46" s="10">
        <v>0</v>
      </c>
    </row>
    <row r="47" spans="1:19" x14ac:dyDescent="0.2">
      <c r="A47" s="9" t="s">
        <v>94</v>
      </c>
      <c r="B47" s="9" t="s">
        <v>95</v>
      </c>
      <c r="C47" s="9">
        <v>16</v>
      </c>
      <c r="D47" s="9">
        <v>0</v>
      </c>
      <c r="E47" s="9">
        <v>56</v>
      </c>
      <c r="F47" s="9">
        <f t="shared" si="0"/>
        <v>72</v>
      </c>
      <c r="H47" s="10">
        <v>70.73</v>
      </c>
      <c r="I47" s="10">
        <v>0</v>
      </c>
      <c r="J47" s="10">
        <v>82.55</v>
      </c>
      <c r="K47" s="10">
        <v>79.86</v>
      </c>
      <c r="M47" s="10">
        <v>96.420850000000002</v>
      </c>
      <c r="N47" s="10">
        <v>101.68157000000001</v>
      </c>
      <c r="O47" s="10">
        <v>100.42902000000001</v>
      </c>
      <c r="Q47" s="10">
        <v>1447.67</v>
      </c>
      <c r="R47" s="10">
        <v>1217.31</v>
      </c>
      <c r="S47" s="10">
        <v>1272.1600000000001</v>
      </c>
    </row>
    <row r="48" spans="1:19" x14ac:dyDescent="0.2">
      <c r="A48" s="9" t="s">
        <v>96</v>
      </c>
      <c r="B48" s="9" t="s">
        <v>97</v>
      </c>
      <c r="C48" s="9">
        <v>4</v>
      </c>
      <c r="D48" s="9">
        <v>0</v>
      </c>
      <c r="E48" s="9">
        <v>15</v>
      </c>
      <c r="F48" s="9">
        <f t="shared" si="0"/>
        <v>19</v>
      </c>
      <c r="H48" s="10">
        <v>100.25</v>
      </c>
      <c r="I48" s="10">
        <v>0</v>
      </c>
      <c r="J48" s="10">
        <v>101.92</v>
      </c>
      <c r="K48" s="10">
        <v>101.53</v>
      </c>
      <c r="M48" s="10">
        <v>88.525000000000006</v>
      </c>
      <c r="N48" s="10">
        <v>92.245689999999996</v>
      </c>
      <c r="O48" s="10">
        <v>91.370229999999992</v>
      </c>
      <c r="Q48" s="10">
        <v>1081.54</v>
      </c>
      <c r="R48" s="10">
        <v>951.43</v>
      </c>
      <c r="S48" s="10">
        <v>982.04</v>
      </c>
    </row>
    <row r="49" spans="1:19" x14ac:dyDescent="0.2">
      <c r="A49" s="9" t="s">
        <v>98</v>
      </c>
      <c r="B49" s="9" t="s">
        <v>99</v>
      </c>
      <c r="C49" s="9">
        <v>1</v>
      </c>
      <c r="D49" s="9">
        <v>0</v>
      </c>
      <c r="E49" s="9">
        <v>83</v>
      </c>
      <c r="F49" s="9">
        <f t="shared" si="0"/>
        <v>84</v>
      </c>
      <c r="H49" s="10">
        <v>160</v>
      </c>
      <c r="I49" s="10">
        <v>0</v>
      </c>
      <c r="J49" s="10">
        <v>108.72</v>
      </c>
      <c r="K49" s="10">
        <v>109.36</v>
      </c>
      <c r="M49" s="10">
        <v>0</v>
      </c>
      <c r="N49" s="10">
        <v>227.10225</v>
      </c>
      <c r="O49" s="10">
        <v>229.54966000000002</v>
      </c>
      <c r="Q49" s="10">
        <v>0</v>
      </c>
      <c r="R49" s="10">
        <v>2267.33</v>
      </c>
      <c r="S49" s="10">
        <v>2271.7600000000002</v>
      </c>
    </row>
    <row r="50" spans="1:19" x14ac:dyDescent="0.2">
      <c r="A50" s="9" t="s">
        <v>100</v>
      </c>
      <c r="B50" s="9" t="s">
        <v>101</v>
      </c>
      <c r="C50" s="9">
        <v>14</v>
      </c>
      <c r="D50" s="9">
        <v>0</v>
      </c>
      <c r="E50" s="9">
        <v>32</v>
      </c>
      <c r="F50" s="9">
        <f t="shared" si="0"/>
        <v>46</v>
      </c>
      <c r="H50" s="10">
        <v>111.43</v>
      </c>
      <c r="I50" s="10">
        <v>0</v>
      </c>
      <c r="J50" s="10">
        <v>109.81</v>
      </c>
      <c r="K50" s="10">
        <v>110.38</v>
      </c>
      <c r="M50" s="10">
        <v>107.44808</v>
      </c>
      <c r="N50" s="10">
        <v>121.78921000000001</v>
      </c>
      <c r="O50" s="10">
        <v>116.76980999999999</v>
      </c>
      <c r="Q50" s="10">
        <v>1109.82</v>
      </c>
      <c r="R50" s="10">
        <v>1135.93</v>
      </c>
      <c r="S50" s="10">
        <v>1126.79</v>
      </c>
    </row>
    <row r="51" spans="1:19" x14ac:dyDescent="0.2">
      <c r="A51" s="9" t="s">
        <v>102</v>
      </c>
      <c r="B51" s="9" t="s">
        <v>103</v>
      </c>
      <c r="C51" s="9">
        <v>7</v>
      </c>
      <c r="D51" s="9">
        <v>0</v>
      </c>
      <c r="E51" s="9">
        <v>122</v>
      </c>
      <c r="F51" s="9">
        <f t="shared" si="0"/>
        <v>129</v>
      </c>
      <c r="H51" s="10">
        <v>202</v>
      </c>
      <c r="I51" s="10">
        <v>0</v>
      </c>
      <c r="J51" s="10">
        <v>132.85</v>
      </c>
      <c r="K51" s="10">
        <v>136.49</v>
      </c>
      <c r="M51" s="10">
        <v>229.53100000000001</v>
      </c>
      <c r="N51" s="10">
        <v>203.01882000000001</v>
      </c>
      <c r="O51" s="10">
        <v>204.43912</v>
      </c>
      <c r="Q51" s="10">
        <v>1565.24</v>
      </c>
      <c r="R51" s="10">
        <v>1706.39</v>
      </c>
      <c r="S51" s="10">
        <v>1698.83</v>
      </c>
    </row>
    <row r="52" spans="1:19" x14ac:dyDescent="0.2">
      <c r="A52" s="9" t="s">
        <v>104</v>
      </c>
      <c r="B52" s="9" t="s">
        <v>105</v>
      </c>
      <c r="C52" s="9">
        <v>0</v>
      </c>
      <c r="D52" s="9">
        <v>0</v>
      </c>
      <c r="E52" s="9">
        <v>67</v>
      </c>
      <c r="F52" s="9">
        <f t="shared" si="0"/>
        <v>67</v>
      </c>
      <c r="H52" s="10">
        <v>0</v>
      </c>
      <c r="I52" s="10">
        <v>0</v>
      </c>
      <c r="J52" s="10">
        <v>127.62</v>
      </c>
      <c r="K52" s="10">
        <v>127.62</v>
      </c>
      <c r="M52" s="10">
        <v>0</v>
      </c>
      <c r="N52" s="10">
        <v>241.88326000000001</v>
      </c>
      <c r="O52" s="10">
        <v>241.88326000000001</v>
      </c>
      <c r="Q52" s="10">
        <v>0</v>
      </c>
      <c r="R52" s="10">
        <v>2104.92</v>
      </c>
      <c r="S52" s="10">
        <v>2104.92</v>
      </c>
    </row>
    <row r="53" spans="1:19" x14ac:dyDescent="0.2">
      <c r="A53" s="9" t="s">
        <v>106</v>
      </c>
      <c r="B53" s="9" t="s">
        <v>107</v>
      </c>
      <c r="C53" s="9">
        <v>29</v>
      </c>
      <c r="D53" s="9">
        <v>0</v>
      </c>
      <c r="E53" s="9">
        <v>264</v>
      </c>
      <c r="F53" s="9">
        <f t="shared" si="0"/>
        <v>293</v>
      </c>
      <c r="H53" s="10">
        <v>78.040000000000006</v>
      </c>
      <c r="I53" s="10">
        <v>0</v>
      </c>
      <c r="J53" s="10">
        <v>85.18</v>
      </c>
      <c r="K53" s="10">
        <v>84.45</v>
      </c>
      <c r="M53" s="10">
        <v>312.7672</v>
      </c>
      <c r="N53" s="10">
        <v>279.52737999999999</v>
      </c>
      <c r="O53" s="10">
        <v>283.01949999999999</v>
      </c>
      <c r="Q53" s="10">
        <v>3911.41</v>
      </c>
      <c r="R53" s="10">
        <v>3476.31</v>
      </c>
      <c r="S53" s="10">
        <v>3522.02</v>
      </c>
    </row>
    <row r="54" spans="1:19" x14ac:dyDescent="0.2">
      <c r="A54" s="9" t="s">
        <v>108</v>
      </c>
      <c r="B54" s="9" t="s">
        <v>109</v>
      </c>
      <c r="C54" s="9">
        <v>8</v>
      </c>
      <c r="D54" s="9">
        <v>0</v>
      </c>
      <c r="E54" s="9">
        <v>250</v>
      </c>
      <c r="F54" s="9">
        <f t="shared" si="0"/>
        <v>258</v>
      </c>
      <c r="H54" s="10">
        <v>117.17</v>
      </c>
      <c r="I54" s="10">
        <v>0</v>
      </c>
      <c r="J54" s="10">
        <v>79.53</v>
      </c>
      <c r="K54" s="10">
        <v>80.540000000000006</v>
      </c>
      <c r="M54" s="10">
        <v>227.83332999999999</v>
      </c>
      <c r="N54" s="10">
        <v>169.07389999999998</v>
      </c>
      <c r="O54" s="10">
        <v>170.66917999999998</v>
      </c>
      <c r="Q54" s="10">
        <v>2170.1799999999998</v>
      </c>
      <c r="R54" s="10">
        <v>2078.98</v>
      </c>
      <c r="S54" s="10">
        <v>2081.46</v>
      </c>
    </row>
    <row r="55" spans="1:19" x14ac:dyDescent="0.2">
      <c r="A55" s="9" t="s">
        <v>110</v>
      </c>
      <c r="B55" s="9" t="s">
        <v>111</v>
      </c>
      <c r="C55" s="9">
        <v>4</v>
      </c>
      <c r="D55" s="9">
        <v>0</v>
      </c>
      <c r="E55" s="9">
        <v>334</v>
      </c>
      <c r="F55" s="9">
        <f t="shared" si="0"/>
        <v>338</v>
      </c>
      <c r="H55" s="10">
        <v>70</v>
      </c>
      <c r="I55" s="10">
        <v>0</v>
      </c>
      <c r="J55" s="10">
        <v>100.72</v>
      </c>
      <c r="K55" s="10">
        <v>100.43</v>
      </c>
      <c r="M55" s="10">
        <v>94</v>
      </c>
      <c r="N55" s="10">
        <v>266.55183</v>
      </c>
      <c r="O55" s="10">
        <v>264.92397999999997</v>
      </c>
      <c r="Q55" s="10">
        <v>1398.78</v>
      </c>
      <c r="R55" s="10">
        <v>2589.4499999999998</v>
      </c>
      <c r="S55" s="10">
        <v>2578.2199999999998</v>
      </c>
    </row>
    <row r="56" spans="1:19" x14ac:dyDescent="0.2">
      <c r="A56" s="9" t="s">
        <v>112</v>
      </c>
      <c r="B56" s="9" t="s">
        <v>113</v>
      </c>
      <c r="C56" s="9">
        <v>4</v>
      </c>
      <c r="D56" s="9">
        <v>0</v>
      </c>
      <c r="E56" s="9">
        <v>14</v>
      </c>
      <c r="F56" s="9">
        <f t="shared" si="0"/>
        <v>18</v>
      </c>
      <c r="H56" s="10">
        <v>91</v>
      </c>
      <c r="I56" s="10">
        <v>0</v>
      </c>
      <c r="J56" s="10">
        <v>116.33</v>
      </c>
      <c r="K56" s="10">
        <v>110</v>
      </c>
      <c r="M56" s="10">
        <v>136.15525</v>
      </c>
      <c r="N56" s="10">
        <v>189.5</v>
      </c>
      <c r="O56" s="10">
        <v>174.25864000000001</v>
      </c>
      <c r="Q56" s="10">
        <v>1572.68</v>
      </c>
      <c r="R56" s="10">
        <v>1558.45</v>
      </c>
      <c r="S56" s="10">
        <v>1562.52</v>
      </c>
    </row>
    <row r="57" spans="1:19" x14ac:dyDescent="0.2">
      <c r="A57" s="9" t="s">
        <v>114</v>
      </c>
      <c r="B57" s="9" t="s">
        <v>115</v>
      </c>
      <c r="C57" s="9">
        <v>19</v>
      </c>
      <c r="D57" s="9">
        <v>0</v>
      </c>
      <c r="E57" s="9">
        <v>21</v>
      </c>
      <c r="F57" s="9">
        <f t="shared" si="0"/>
        <v>40</v>
      </c>
      <c r="H57" s="10">
        <v>91.95</v>
      </c>
      <c r="I57" s="10">
        <v>0</v>
      </c>
      <c r="J57" s="10">
        <v>84.05</v>
      </c>
      <c r="K57" s="10">
        <v>87.9</v>
      </c>
      <c r="M57" s="10">
        <v>128.495</v>
      </c>
      <c r="N57" s="10">
        <v>114.49011</v>
      </c>
      <c r="O57" s="10">
        <v>121.31300999999999</v>
      </c>
      <c r="Q57" s="10">
        <v>1492.16</v>
      </c>
      <c r="R57" s="10">
        <v>1385.46</v>
      </c>
      <c r="S57" s="10">
        <v>1437.44</v>
      </c>
    </row>
    <row r="58" spans="1:19" x14ac:dyDescent="0.2">
      <c r="A58" s="9" t="s">
        <v>116</v>
      </c>
      <c r="B58" s="9" t="s">
        <v>117</v>
      </c>
      <c r="C58" s="9">
        <v>10</v>
      </c>
      <c r="D58" s="9">
        <v>0</v>
      </c>
      <c r="E58" s="9">
        <v>233</v>
      </c>
      <c r="F58" s="9">
        <f t="shared" si="0"/>
        <v>243</v>
      </c>
      <c r="H58" s="10">
        <v>111.78</v>
      </c>
      <c r="I58" s="10">
        <v>0</v>
      </c>
      <c r="J58" s="10">
        <v>101.81</v>
      </c>
      <c r="K58" s="10">
        <v>102.21</v>
      </c>
      <c r="M58" s="10">
        <v>326.88724999999999</v>
      </c>
      <c r="N58" s="10">
        <v>268.52370000000002</v>
      </c>
      <c r="O58" s="10">
        <v>271.12405999999999</v>
      </c>
      <c r="Q58" s="10">
        <v>2829.7</v>
      </c>
      <c r="R58" s="10">
        <v>2584.39</v>
      </c>
      <c r="S58" s="10">
        <v>2595.3200000000002</v>
      </c>
    </row>
    <row r="59" spans="1:19" x14ac:dyDescent="0.2">
      <c r="A59" s="9" t="s">
        <v>118</v>
      </c>
      <c r="B59" s="9" t="s">
        <v>119</v>
      </c>
      <c r="C59" s="9">
        <v>6</v>
      </c>
      <c r="D59" s="9">
        <v>0</v>
      </c>
      <c r="E59" s="9">
        <v>63</v>
      </c>
      <c r="F59" s="9">
        <f t="shared" si="0"/>
        <v>69</v>
      </c>
      <c r="H59" s="10">
        <v>153.4</v>
      </c>
      <c r="I59" s="10">
        <v>0</v>
      </c>
      <c r="J59" s="10">
        <v>163.62</v>
      </c>
      <c r="K59" s="10">
        <v>162.72</v>
      </c>
      <c r="M59" s="10">
        <v>260</v>
      </c>
      <c r="N59" s="10">
        <v>231.99519000000001</v>
      </c>
      <c r="O59" s="10">
        <v>234.45175</v>
      </c>
      <c r="Q59" s="10">
        <v>1798.2</v>
      </c>
      <c r="R59" s="10">
        <v>1636.22</v>
      </c>
      <c r="S59" s="10">
        <v>1650.43</v>
      </c>
    </row>
    <row r="60" spans="1:19" x14ac:dyDescent="0.2">
      <c r="A60" s="9" t="s">
        <v>120</v>
      </c>
      <c r="B60" s="9" t="s">
        <v>121</v>
      </c>
      <c r="C60" s="9">
        <v>4</v>
      </c>
      <c r="D60" s="9">
        <v>1</v>
      </c>
      <c r="E60" s="9">
        <v>23</v>
      </c>
      <c r="F60" s="9">
        <f t="shared" si="0"/>
        <v>28</v>
      </c>
      <c r="H60" s="10">
        <v>136.5</v>
      </c>
      <c r="I60" s="10">
        <v>82</v>
      </c>
      <c r="J60" s="10">
        <v>113.73</v>
      </c>
      <c r="K60" s="10">
        <v>116.7</v>
      </c>
      <c r="M60" s="10">
        <v>106.175</v>
      </c>
      <c r="N60" s="10">
        <v>93.581990000000005</v>
      </c>
      <c r="O60" s="10">
        <v>96.940130000000011</v>
      </c>
      <c r="Q60" s="10">
        <v>772</v>
      </c>
      <c r="R60" s="10">
        <v>716.07</v>
      </c>
      <c r="S60" s="10">
        <v>730.98</v>
      </c>
    </row>
    <row r="61" spans="1:19" x14ac:dyDescent="0.2">
      <c r="A61" s="9" t="s">
        <v>122</v>
      </c>
      <c r="B61" s="9" t="s">
        <v>123</v>
      </c>
      <c r="C61" s="9">
        <v>9</v>
      </c>
      <c r="D61" s="9">
        <v>0</v>
      </c>
      <c r="E61" s="9">
        <v>44</v>
      </c>
      <c r="F61" s="9">
        <f t="shared" si="0"/>
        <v>53</v>
      </c>
      <c r="H61" s="10">
        <v>131</v>
      </c>
      <c r="I61" s="10">
        <v>0</v>
      </c>
      <c r="J61" s="10">
        <v>105.47</v>
      </c>
      <c r="K61" s="10">
        <v>110.33</v>
      </c>
      <c r="M61" s="10">
        <v>89.9375</v>
      </c>
      <c r="N61" s="10">
        <v>76.357969999999995</v>
      </c>
      <c r="O61" s="10">
        <v>79.143509999999992</v>
      </c>
      <c r="Q61" s="10">
        <v>677.67</v>
      </c>
      <c r="R61" s="10">
        <v>788.08</v>
      </c>
      <c r="S61" s="10">
        <v>765.43</v>
      </c>
    </row>
    <row r="62" spans="1:19" x14ac:dyDescent="0.2">
      <c r="A62" s="9" t="s">
        <v>124</v>
      </c>
      <c r="B62" s="9" t="s">
        <v>125</v>
      </c>
      <c r="C62" s="9">
        <v>17</v>
      </c>
      <c r="D62" s="9">
        <v>0</v>
      </c>
      <c r="E62" s="9">
        <v>60</v>
      </c>
      <c r="F62" s="9">
        <f t="shared" si="0"/>
        <v>77</v>
      </c>
      <c r="H62" s="10">
        <v>186</v>
      </c>
      <c r="I62" s="10">
        <v>0</v>
      </c>
      <c r="J62" s="10">
        <v>153.72</v>
      </c>
      <c r="K62" s="10">
        <v>161.13</v>
      </c>
      <c r="M62" s="10">
        <v>201.53570999999999</v>
      </c>
      <c r="N62" s="10">
        <v>218.67973999999998</v>
      </c>
      <c r="O62" s="10">
        <v>214.67947000000001</v>
      </c>
      <c r="Q62" s="10">
        <v>1260.26</v>
      </c>
      <c r="R62" s="10">
        <v>1578.44</v>
      </c>
      <c r="S62" s="10">
        <v>1504.2</v>
      </c>
    </row>
    <row r="63" spans="1:19" x14ac:dyDescent="0.2">
      <c r="A63" s="9" t="s">
        <v>126</v>
      </c>
      <c r="B63" s="9" t="s">
        <v>127</v>
      </c>
      <c r="C63" s="9">
        <v>3</v>
      </c>
      <c r="D63" s="9">
        <v>0</v>
      </c>
      <c r="E63" s="9">
        <v>299</v>
      </c>
      <c r="F63" s="9">
        <f t="shared" si="0"/>
        <v>302</v>
      </c>
      <c r="H63" s="10">
        <v>79.67</v>
      </c>
      <c r="I63" s="10">
        <v>0</v>
      </c>
      <c r="J63" s="10">
        <v>62.03</v>
      </c>
      <c r="K63" s="10">
        <v>62.23</v>
      </c>
      <c r="M63" s="10">
        <v>245.66667000000001</v>
      </c>
      <c r="N63" s="10">
        <v>150.76366000000002</v>
      </c>
      <c r="O63" s="10">
        <v>152.63675000000001</v>
      </c>
      <c r="Q63" s="10">
        <v>3086.5</v>
      </c>
      <c r="R63" s="10">
        <v>2488.09</v>
      </c>
      <c r="S63" s="10">
        <v>2499.9</v>
      </c>
    </row>
    <row r="64" spans="1:19" x14ac:dyDescent="0.2">
      <c r="A64" s="9" t="s">
        <v>128</v>
      </c>
      <c r="B64" s="9" t="s">
        <v>129</v>
      </c>
      <c r="C64" s="9">
        <v>7</v>
      </c>
      <c r="D64" s="9">
        <v>0</v>
      </c>
      <c r="E64" s="9">
        <v>149</v>
      </c>
      <c r="F64" s="9">
        <f t="shared" si="0"/>
        <v>156</v>
      </c>
      <c r="H64" s="10">
        <v>115.83</v>
      </c>
      <c r="I64" s="10">
        <v>0</v>
      </c>
      <c r="J64" s="10">
        <v>86.66</v>
      </c>
      <c r="K64" s="10">
        <v>87.91</v>
      </c>
      <c r="M64" s="10">
        <v>114.13346</v>
      </c>
      <c r="N64" s="10">
        <v>151.01256000000001</v>
      </c>
      <c r="O64" s="10">
        <v>149.42066</v>
      </c>
      <c r="Q64" s="10">
        <v>1131.92</v>
      </c>
      <c r="R64" s="10">
        <v>1820.11</v>
      </c>
      <c r="S64" s="10">
        <v>1790.4</v>
      </c>
    </row>
    <row r="65" spans="1:19" x14ac:dyDescent="0.2">
      <c r="A65" s="9" t="s">
        <v>130</v>
      </c>
      <c r="B65" s="9" t="s">
        <v>131</v>
      </c>
      <c r="C65" s="9">
        <v>23</v>
      </c>
      <c r="D65" s="9">
        <v>1</v>
      </c>
      <c r="E65" s="9">
        <v>169</v>
      </c>
      <c r="F65" s="9">
        <f t="shared" si="0"/>
        <v>193</v>
      </c>
      <c r="H65" s="10">
        <v>79.930000000000007</v>
      </c>
      <c r="I65" s="10">
        <v>61</v>
      </c>
      <c r="J65" s="10">
        <v>82.42</v>
      </c>
      <c r="K65" s="10">
        <v>82.1</v>
      </c>
      <c r="M65" s="10">
        <v>106.03571000000001</v>
      </c>
      <c r="N65" s="10">
        <v>117.26860000000001</v>
      </c>
      <c r="O65" s="10">
        <v>116.30969</v>
      </c>
      <c r="Q65" s="10">
        <v>1425.01</v>
      </c>
      <c r="R65" s="10">
        <v>1535.13</v>
      </c>
      <c r="S65" s="10">
        <v>1525.73</v>
      </c>
    </row>
    <row r="66" spans="1:19" x14ac:dyDescent="0.2">
      <c r="A66" s="9" t="s">
        <v>132</v>
      </c>
      <c r="B66" s="9" t="s">
        <v>133</v>
      </c>
      <c r="C66" s="9">
        <v>18</v>
      </c>
      <c r="D66" s="9">
        <v>0</v>
      </c>
      <c r="E66" s="9">
        <v>86</v>
      </c>
      <c r="F66" s="9">
        <f t="shared" si="0"/>
        <v>104</v>
      </c>
      <c r="H66" s="10">
        <v>84.22</v>
      </c>
      <c r="I66" s="10">
        <v>0</v>
      </c>
      <c r="J66" s="10">
        <v>74.959999999999994</v>
      </c>
      <c r="K66" s="10">
        <v>75.98</v>
      </c>
      <c r="M66" s="10">
        <v>64.3125</v>
      </c>
      <c r="N66" s="10">
        <v>66.445320000000009</v>
      </c>
      <c r="O66" s="10">
        <v>66.234669999999994</v>
      </c>
      <c r="Q66" s="10">
        <v>718.71</v>
      </c>
      <c r="R66" s="10">
        <v>865.88</v>
      </c>
      <c r="S66" s="10">
        <v>851.34</v>
      </c>
    </row>
    <row r="67" spans="1:19" x14ac:dyDescent="0.2">
      <c r="A67" s="9" t="s">
        <v>134</v>
      </c>
      <c r="B67" s="9" t="s">
        <v>135</v>
      </c>
      <c r="C67" s="9">
        <v>8</v>
      </c>
      <c r="D67" s="9">
        <v>0</v>
      </c>
      <c r="E67" s="9">
        <v>37</v>
      </c>
      <c r="F67" s="9">
        <f t="shared" si="0"/>
        <v>45</v>
      </c>
      <c r="H67" s="10">
        <v>164.43</v>
      </c>
      <c r="I67" s="10">
        <v>0</v>
      </c>
      <c r="J67" s="10">
        <v>167.9</v>
      </c>
      <c r="K67" s="10">
        <v>167</v>
      </c>
      <c r="M67" s="10">
        <v>164.31094000000002</v>
      </c>
      <c r="N67" s="10">
        <v>205.16257000000002</v>
      </c>
      <c r="O67" s="10">
        <v>194.57141000000001</v>
      </c>
      <c r="Q67" s="10">
        <v>1174.47</v>
      </c>
      <c r="R67" s="10">
        <v>1499.68</v>
      </c>
      <c r="S67" s="10">
        <v>1415.37</v>
      </c>
    </row>
    <row r="68" spans="1:19" x14ac:dyDescent="0.2">
      <c r="A68" s="9" t="s">
        <v>136</v>
      </c>
      <c r="B68" s="9" t="s">
        <v>137</v>
      </c>
      <c r="C68" s="9">
        <v>10</v>
      </c>
      <c r="D68" s="9">
        <v>0</v>
      </c>
      <c r="E68" s="9">
        <v>174</v>
      </c>
      <c r="F68" s="9">
        <f t="shared" si="0"/>
        <v>184</v>
      </c>
      <c r="H68" s="10">
        <v>80</v>
      </c>
      <c r="I68" s="10">
        <v>0</v>
      </c>
      <c r="J68" s="10">
        <v>88.21</v>
      </c>
      <c r="K68" s="10">
        <v>87.73</v>
      </c>
      <c r="M68" s="10">
        <v>145.69999999999999</v>
      </c>
      <c r="N68" s="10">
        <v>168.46185</v>
      </c>
      <c r="O68" s="10">
        <v>167.06542000000002</v>
      </c>
      <c r="Q68" s="10">
        <v>1858.61</v>
      </c>
      <c r="R68" s="10">
        <v>2049.16</v>
      </c>
      <c r="S68" s="10">
        <v>2037.47</v>
      </c>
    </row>
    <row r="69" spans="1:19" x14ac:dyDescent="0.2">
      <c r="A69" s="9" t="s">
        <v>138</v>
      </c>
      <c r="B69" s="9" t="s">
        <v>139</v>
      </c>
      <c r="C69" s="9">
        <v>0</v>
      </c>
      <c r="D69" s="9">
        <v>0</v>
      </c>
      <c r="E69" s="9">
        <v>120</v>
      </c>
      <c r="F69" s="9">
        <f t="shared" si="0"/>
        <v>120</v>
      </c>
      <c r="H69" s="10">
        <v>0</v>
      </c>
      <c r="I69" s="10">
        <v>0</v>
      </c>
      <c r="J69" s="10">
        <v>95.45</v>
      </c>
      <c r="K69" s="10">
        <v>95.45</v>
      </c>
      <c r="M69" s="10">
        <v>0</v>
      </c>
      <c r="N69" s="10">
        <v>142.40160999999998</v>
      </c>
      <c r="O69" s="10">
        <v>142.40160999999998</v>
      </c>
      <c r="Q69" s="10">
        <v>0</v>
      </c>
      <c r="R69" s="10">
        <v>1665.29</v>
      </c>
      <c r="S69" s="10">
        <v>1665.29</v>
      </c>
    </row>
    <row r="70" spans="1:19" x14ac:dyDescent="0.2">
      <c r="A70" s="9" t="s">
        <v>140</v>
      </c>
      <c r="B70" s="9" t="s">
        <v>141</v>
      </c>
      <c r="C70" s="9">
        <v>27</v>
      </c>
      <c r="D70" s="9">
        <v>4</v>
      </c>
      <c r="E70" s="9">
        <v>121</v>
      </c>
      <c r="F70" s="9">
        <f t="shared" si="0"/>
        <v>152</v>
      </c>
      <c r="H70" s="10">
        <v>81.040000000000006</v>
      </c>
      <c r="I70" s="10">
        <v>97.67</v>
      </c>
      <c r="J70" s="10">
        <v>87.61</v>
      </c>
      <c r="K70" s="10">
        <v>86.62</v>
      </c>
      <c r="M70" s="10">
        <v>318.81610999999998</v>
      </c>
      <c r="N70" s="10">
        <v>237.88518999999999</v>
      </c>
      <c r="O70" s="10">
        <v>254.45372</v>
      </c>
      <c r="Q70" s="10">
        <v>4024.57</v>
      </c>
      <c r="R70" s="10">
        <v>2785.7</v>
      </c>
      <c r="S70" s="10">
        <v>3039.33</v>
      </c>
    </row>
    <row r="71" spans="1:19" x14ac:dyDescent="0.2">
      <c r="A71" s="9" t="s">
        <v>142</v>
      </c>
      <c r="B71" s="9" t="s">
        <v>143</v>
      </c>
      <c r="C71" s="9">
        <v>6</v>
      </c>
      <c r="D71" s="9">
        <v>0</v>
      </c>
      <c r="E71" s="9">
        <v>232</v>
      </c>
      <c r="F71" s="9">
        <f t="shared" ref="F71:F134" si="1">SUM(C71:E71)</f>
        <v>238</v>
      </c>
      <c r="H71" s="10">
        <v>129</v>
      </c>
      <c r="I71" s="10">
        <v>0</v>
      </c>
      <c r="J71" s="10">
        <v>90.21</v>
      </c>
      <c r="K71" s="10">
        <v>91.37</v>
      </c>
      <c r="M71" s="10">
        <v>141.17042000000001</v>
      </c>
      <c r="N71" s="10">
        <v>90.074179999999998</v>
      </c>
      <c r="O71" s="10">
        <v>91.704909999999998</v>
      </c>
      <c r="Q71" s="10">
        <v>1576.6</v>
      </c>
      <c r="R71" s="10">
        <v>1057.33</v>
      </c>
      <c r="S71" s="10">
        <v>1073.9000000000001</v>
      </c>
    </row>
    <row r="72" spans="1:19" x14ac:dyDescent="0.2">
      <c r="A72" s="9" t="s">
        <v>144</v>
      </c>
      <c r="B72" s="9" t="s">
        <v>145</v>
      </c>
      <c r="C72" s="9">
        <v>32</v>
      </c>
      <c r="D72" s="9">
        <v>0</v>
      </c>
      <c r="E72" s="9">
        <v>60</v>
      </c>
      <c r="F72" s="9">
        <f t="shared" si="1"/>
        <v>92</v>
      </c>
      <c r="H72" s="10">
        <v>93.74</v>
      </c>
      <c r="I72" s="10">
        <v>0</v>
      </c>
      <c r="J72" s="10">
        <v>90.24</v>
      </c>
      <c r="K72" s="10">
        <v>91.14</v>
      </c>
      <c r="M72" s="10">
        <v>172.01787999999999</v>
      </c>
      <c r="N72" s="10">
        <v>190.76652999999999</v>
      </c>
      <c r="O72" s="10">
        <v>185.81897000000001</v>
      </c>
      <c r="Q72" s="10">
        <v>1980.22</v>
      </c>
      <c r="R72" s="10">
        <v>2201.8000000000002</v>
      </c>
      <c r="S72" s="10">
        <v>2143.33</v>
      </c>
    </row>
    <row r="73" spans="1:19" x14ac:dyDescent="0.2">
      <c r="A73" s="9" t="s">
        <v>146</v>
      </c>
      <c r="B73" s="9" t="s">
        <v>147</v>
      </c>
      <c r="C73" s="9">
        <v>19</v>
      </c>
      <c r="D73" s="9">
        <v>0</v>
      </c>
      <c r="E73" s="9">
        <v>55</v>
      </c>
      <c r="F73" s="9">
        <f t="shared" si="1"/>
        <v>74</v>
      </c>
      <c r="H73" s="10">
        <v>134.26</v>
      </c>
      <c r="I73" s="10">
        <v>0</v>
      </c>
      <c r="J73" s="10">
        <v>127.61</v>
      </c>
      <c r="K73" s="10">
        <v>129.34</v>
      </c>
      <c r="M73" s="10">
        <v>215.19820999999999</v>
      </c>
      <c r="N73" s="10">
        <v>214.39045999999999</v>
      </c>
      <c r="O73" s="10">
        <v>214.60070000000002</v>
      </c>
      <c r="Q73" s="10">
        <v>1647.7</v>
      </c>
      <c r="R73" s="10">
        <v>1799.82</v>
      </c>
      <c r="S73" s="10">
        <v>1760.23</v>
      </c>
    </row>
    <row r="74" spans="1:19" x14ac:dyDescent="0.2">
      <c r="A74" s="9" t="s">
        <v>148</v>
      </c>
      <c r="B74" s="9" t="s">
        <v>149</v>
      </c>
      <c r="C74" s="9">
        <v>31</v>
      </c>
      <c r="D74" s="9">
        <v>1</v>
      </c>
      <c r="E74" s="9">
        <v>217</v>
      </c>
      <c r="F74" s="9">
        <f t="shared" si="1"/>
        <v>249</v>
      </c>
      <c r="H74" s="10">
        <v>116.45</v>
      </c>
      <c r="I74" s="10">
        <v>90</v>
      </c>
      <c r="J74" s="10">
        <v>85.14</v>
      </c>
      <c r="K74" s="10">
        <v>88.99</v>
      </c>
      <c r="M74" s="10">
        <v>470.36819000000003</v>
      </c>
      <c r="N74" s="10">
        <v>257.75261</v>
      </c>
      <c r="O74" s="10">
        <v>285.77921000000003</v>
      </c>
      <c r="Q74" s="10">
        <v>3886.02</v>
      </c>
      <c r="R74" s="10">
        <v>2940.26</v>
      </c>
      <c r="S74" s="10">
        <v>3064.93</v>
      </c>
    </row>
    <row r="75" spans="1:19" x14ac:dyDescent="0.2">
      <c r="A75" s="9" t="s">
        <v>150</v>
      </c>
      <c r="B75" s="9" t="s">
        <v>151</v>
      </c>
      <c r="C75" s="9">
        <v>2</v>
      </c>
      <c r="D75" s="9">
        <v>0</v>
      </c>
      <c r="E75" s="9">
        <v>35</v>
      </c>
      <c r="F75" s="9">
        <f t="shared" si="1"/>
        <v>37</v>
      </c>
      <c r="H75" s="10">
        <v>87.5</v>
      </c>
      <c r="I75" s="10">
        <v>0</v>
      </c>
      <c r="J75" s="10">
        <v>98.97</v>
      </c>
      <c r="K75" s="10">
        <v>98.27</v>
      </c>
      <c r="M75" s="10">
        <v>0</v>
      </c>
      <c r="N75" s="10">
        <v>133.91845000000001</v>
      </c>
      <c r="O75" s="10">
        <v>133.52945000000003</v>
      </c>
      <c r="Q75" s="10">
        <v>0</v>
      </c>
      <c r="R75" s="10">
        <v>1361.62</v>
      </c>
      <c r="S75" s="10">
        <v>1367.48</v>
      </c>
    </row>
    <row r="76" spans="1:19" x14ac:dyDescent="0.2">
      <c r="A76" s="9" t="s">
        <v>152</v>
      </c>
      <c r="B76" s="9" t="s">
        <v>153</v>
      </c>
      <c r="C76" s="9">
        <v>118</v>
      </c>
      <c r="D76" s="9">
        <v>14</v>
      </c>
      <c r="E76" s="9">
        <v>420</v>
      </c>
      <c r="F76" s="9">
        <f t="shared" si="1"/>
        <v>552</v>
      </c>
      <c r="H76" s="10">
        <v>84.45</v>
      </c>
      <c r="I76" s="10">
        <v>77.33</v>
      </c>
      <c r="J76" s="10">
        <v>89.07</v>
      </c>
      <c r="K76" s="10">
        <v>87.83</v>
      </c>
      <c r="M76" s="10">
        <v>158.76276999999999</v>
      </c>
      <c r="N76" s="10">
        <v>158.95574999999999</v>
      </c>
      <c r="O76" s="10">
        <v>158.90695000000002</v>
      </c>
      <c r="Q76" s="10">
        <v>1867.27</v>
      </c>
      <c r="R76" s="10">
        <v>1808.83</v>
      </c>
      <c r="S76" s="10">
        <v>1823.61</v>
      </c>
    </row>
    <row r="77" spans="1:19" x14ac:dyDescent="0.2">
      <c r="A77" s="9" t="s">
        <v>154</v>
      </c>
      <c r="B77" s="9" t="s">
        <v>155</v>
      </c>
      <c r="C77" s="9">
        <v>48</v>
      </c>
      <c r="D77" s="9">
        <v>3</v>
      </c>
      <c r="E77" s="9">
        <v>330</v>
      </c>
      <c r="F77" s="9">
        <f t="shared" si="1"/>
        <v>381</v>
      </c>
      <c r="H77" s="10">
        <v>107.63</v>
      </c>
      <c r="I77" s="10">
        <v>78.33</v>
      </c>
      <c r="J77" s="10">
        <v>90.86</v>
      </c>
      <c r="K77" s="10">
        <v>93.04</v>
      </c>
      <c r="M77" s="10">
        <v>235.00606999999999</v>
      </c>
      <c r="N77" s="10">
        <v>156.81179</v>
      </c>
      <c r="O77" s="10">
        <v>168.267</v>
      </c>
      <c r="Q77" s="10">
        <v>2273.84</v>
      </c>
      <c r="R77" s="10">
        <v>1836.37</v>
      </c>
      <c r="S77" s="10">
        <v>1900.46</v>
      </c>
    </row>
    <row r="78" spans="1:19" x14ac:dyDescent="0.2">
      <c r="A78" s="9" t="s">
        <v>156</v>
      </c>
      <c r="B78" s="9" t="s">
        <v>157</v>
      </c>
      <c r="C78" s="9">
        <v>0</v>
      </c>
      <c r="D78" s="9">
        <v>0</v>
      </c>
      <c r="E78" s="9">
        <v>17</v>
      </c>
      <c r="F78" s="9">
        <f t="shared" si="1"/>
        <v>17</v>
      </c>
      <c r="H78" s="10">
        <v>0</v>
      </c>
      <c r="I78" s="10">
        <v>0</v>
      </c>
      <c r="J78" s="10">
        <v>129.56</v>
      </c>
      <c r="K78" s="10">
        <v>129.56</v>
      </c>
      <c r="M78" s="10">
        <v>0</v>
      </c>
      <c r="N78" s="10">
        <v>124.154</v>
      </c>
      <c r="O78" s="10">
        <v>124.154</v>
      </c>
      <c r="Q78" s="10">
        <v>0</v>
      </c>
      <c r="R78" s="10">
        <v>993.81</v>
      </c>
      <c r="S78" s="10">
        <v>993.81</v>
      </c>
    </row>
    <row r="79" spans="1:19" x14ac:dyDescent="0.2">
      <c r="A79" s="9" t="s">
        <v>158</v>
      </c>
      <c r="B79" s="9" t="s">
        <v>159</v>
      </c>
      <c r="C79" s="9">
        <v>258</v>
      </c>
      <c r="D79" s="9">
        <v>19</v>
      </c>
      <c r="E79" s="9">
        <v>1112</v>
      </c>
      <c r="F79" s="9">
        <f t="shared" si="1"/>
        <v>1389</v>
      </c>
      <c r="H79" s="10">
        <v>88.65</v>
      </c>
      <c r="I79" s="10">
        <v>72.709999999999994</v>
      </c>
      <c r="J79" s="10">
        <v>58.89</v>
      </c>
      <c r="K79" s="10">
        <v>64.63</v>
      </c>
      <c r="M79" s="10">
        <v>218.53043</v>
      </c>
      <c r="N79" s="10">
        <v>136.24404000000001</v>
      </c>
      <c r="O79" s="10">
        <v>153.66767000000002</v>
      </c>
      <c r="Q79" s="10">
        <v>2455.7399999999998</v>
      </c>
      <c r="R79" s="10">
        <v>2362.73</v>
      </c>
      <c r="S79" s="10">
        <v>2382.42</v>
      </c>
    </row>
    <row r="80" spans="1:19" x14ac:dyDescent="0.2">
      <c r="A80" s="9" t="s">
        <v>160</v>
      </c>
      <c r="B80" s="9" t="s">
        <v>161</v>
      </c>
      <c r="C80" s="9">
        <v>53</v>
      </c>
      <c r="D80" s="9">
        <v>5</v>
      </c>
      <c r="E80" s="9">
        <v>177</v>
      </c>
      <c r="F80" s="9">
        <f t="shared" si="1"/>
        <v>235</v>
      </c>
      <c r="H80" s="10">
        <v>126.69</v>
      </c>
      <c r="I80" s="10">
        <v>85.2</v>
      </c>
      <c r="J80" s="10">
        <v>100.41</v>
      </c>
      <c r="K80" s="10">
        <v>106.55</v>
      </c>
      <c r="M80" s="10">
        <v>204.10946999999999</v>
      </c>
      <c r="N80" s="10">
        <v>111.27221</v>
      </c>
      <c r="O80" s="10">
        <v>137.00427999999999</v>
      </c>
      <c r="Q80" s="10">
        <v>1650.47</v>
      </c>
      <c r="R80" s="10">
        <v>1139.3</v>
      </c>
      <c r="S80" s="10">
        <v>1280.98</v>
      </c>
    </row>
    <row r="81" spans="1:19" x14ac:dyDescent="0.2">
      <c r="A81" s="9" t="s">
        <v>162</v>
      </c>
      <c r="B81" s="9" t="s">
        <v>163</v>
      </c>
      <c r="C81" s="9">
        <v>7</v>
      </c>
      <c r="D81" s="9">
        <v>3</v>
      </c>
      <c r="E81" s="9">
        <v>47</v>
      </c>
      <c r="F81" s="9">
        <f t="shared" si="1"/>
        <v>57</v>
      </c>
      <c r="H81" s="10">
        <v>101.86</v>
      </c>
      <c r="I81" s="10">
        <v>56</v>
      </c>
      <c r="J81" s="10">
        <v>81.8</v>
      </c>
      <c r="K81" s="10">
        <v>83.61</v>
      </c>
      <c r="M81" s="10">
        <v>96.548570000000012</v>
      </c>
      <c r="N81" s="10">
        <v>140.3031</v>
      </c>
      <c r="O81" s="10">
        <v>133.01067999999998</v>
      </c>
      <c r="Q81" s="10">
        <v>1296.82</v>
      </c>
      <c r="R81" s="10">
        <v>1742.71</v>
      </c>
      <c r="S81" s="10">
        <v>1668.39</v>
      </c>
    </row>
    <row r="82" spans="1:19" x14ac:dyDescent="0.2">
      <c r="A82" s="9" t="s">
        <v>164</v>
      </c>
      <c r="B82" s="9" t="s">
        <v>165</v>
      </c>
      <c r="C82" s="9">
        <v>7</v>
      </c>
      <c r="D82" s="9">
        <v>1</v>
      </c>
      <c r="E82" s="9">
        <v>30</v>
      </c>
      <c r="F82" s="9">
        <f t="shared" si="1"/>
        <v>38</v>
      </c>
      <c r="H82" s="10">
        <v>108</v>
      </c>
      <c r="I82" s="10">
        <v>82</v>
      </c>
      <c r="J82" s="10">
        <v>114.26</v>
      </c>
      <c r="K82" s="10">
        <v>112.33</v>
      </c>
      <c r="M82" s="10">
        <v>135.36079999999998</v>
      </c>
      <c r="N82" s="10">
        <v>112.63319</v>
      </c>
      <c r="O82" s="10">
        <v>116.18438</v>
      </c>
      <c r="Q82" s="10">
        <v>1325.15</v>
      </c>
      <c r="R82" s="10">
        <v>1044.1099999999999</v>
      </c>
      <c r="S82" s="10">
        <v>1088.02</v>
      </c>
    </row>
    <row r="83" spans="1:19" x14ac:dyDescent="0.2">
      <c r="A83" s="9" t="s">
        <v>166</v>
      </c>
      <c r="B83" s="9" t="s">
        <v>167</v>
      </c>
      <c r="C83" s="9">
        <v>119</v>
      </c>
      <c r="D83" s="9">
        <v>59</v>
      </c>
      <c r="E83" s="9">
        <v>485</v>
      </c>
      <c r="F83" s="9">
        <f t="shared" si="1"/>
        <v>663</v>
      </c>
      <c r="H83" s="10">
        <v>92.4</v>
      </c>
      <c r="I83" s="10">
        <v>86.25</v>
      </c>
      <c r="J83" s="10">
        <v>86.01</v>
      </c>
      <c r="K83" s="10">
        <v>87.18</v>
      </c>
      <c r="M83" s="10">
        <v>92.572690000000009</v>
      </c>
      <c r="N83" s="10">
        <v>88.536419999999993</v>
      </c>
      <c r="O83" s="10">
        <v>89.527419999999992</v>
      </c>
      <c r="Q83" s="10">
        <v>933.81</v>
      </c>
      <c r="R83" s="10">
        <v>1028.45</v>
      </c>
      <c r="S83" s="10">
        <v>1005.21</v>
      </c>
    </row>
    <row r="84" spans="1:19" x14ac:dyDescent="0.2">
      <c r="A84" s="9" t="s">
        <v>168</v>
      </c>
      <c r="B84" s="9" t="s">
        <v>169</v>
      </c>
      <c r="C84" s="9">
        <v>12</v>
      </c>
      <c r="D84" s="9">
        <v>0</v>
      </c>
      <c r="E84" s="9">
        <v>62</v>
      </c>
      <c r="F84" s="9">
        <f t="shared" si="1"/>
        <v>74</v>
      </c>
      <c r="H84" s="10">
        <v>177.09</v>
      </c>
      <c r="I84" s="10">
        <v>0</v>
      </c>
      <c r="J84" s="10">
        <v>164.52</v>
      </c>
      <c r="K84" s="10">
        <v>166.44</v>
      </c>
      <c r="M84" s="10">
        <v>220.90917999999999</v>
      </c>
      <c r="N84" s="10">
        <v>214.61096000000001</v>
      </c>
      <c r="O84" s="10">
        <v>215.60067999999998</v>
      </c>
      <c r="Q84" s="10">
        <v>1338.9</v>
      </c>
      <c r="R84" s="10">
        <v>1414.77</v>
      </c>
      <c r="S84" s="10">
        <v>1402.85</v>
      </c>
    </row>
    <row r="85" spans="1:19" x14ac:dyDescent="0.2">
      <c r="A85" s="9" t="s">
        <v>170</v>
      </c>
      <c r="B85" s="9" t="s">
        <v>171</v>
      </c>
      <c r="C85" s="9">
        <v>1</v>
      </c>
      <c r="D85" s="9">
        <v>0</v>
      </c>
      <c r="E85" s="9">
        <v>29</v>
      </c>
      <c r="F85" s="9">
        <f t="shared" si="1"/>
        <v>30</v>
      </c>
      <c r="H85" s="10">
        <v>53</v>
      </c>
      <c r="I85" s="10">
        <v>0</v>
      </c>
      <c r="J85" s="10">
        <v>157.04</v>
      </c>
      <c r="K85" s="10">
        <v>153.32</v>
      </c>
      <c r="M85" s="10">
        <v>0</v>
      </c>
      <c r="N85" s="10">
        <v>207.92785000000001</v>
      </c>
      <c r="O85" s="10">
        <v>204.43043</v>
      </c>
      <c r="Q85" s="10">
        <v>0</v>
      </c>
      <c r="R85" s="10">
        <v>1500.69</v>
      </c>
      <c r="S85" s="10">
        <v>1521.22</v>
      </c>
    </row>
    <row r="86" spans="1:19" x14ac:dyDescent="0.2">
      <c r="A86" s="9" t="s">
        <v>172</v>
      </c>
      <c r="B86" s="9" t="s">
        <v>173</v>
      </c>
      <c r="C86" s="9">
        <v>1</v>
      </c>
      <c r="D86" s="9">
        <v>0</v>
      </c>
      <c r="E86" s="9">
        <v>61</v>
      </c>
      <c r="F86" s="9">
        <f t="shared" si="1"/>
        <v>62</v>
      </c>
      <c r="H86" s="10">
        <v>195</v>
      </c>
      <c r="I86" s="10">
        <v>0</v>
      </c>
      <c r="J86" s="10">
        <v>125.24</v>
      </c>
      <c r="K86" s="10">
        <v>126.42</v>
      </c>
      <c r="M86" s="10">
        <v>0</v>
      </c>
      <c r="N86" s="10">
        <v>178.67866000000001</v>
      </c>
      <c r="O86" s="10">
        <v>178.78579999999999</v>
      </c>
      <c r="Q86" s="10">
        <v>0</v>
      </c>
      <c r="R86" s="10">
        <v>1657.86</v>
      </c>
      <c r="S86" s="10">
        <v>1645.84</v>
      </c>
    </row>
    <row r="87" spans="1:19" x14ac:dyDescent="0.2">
      <c r="A87" s="9" t="s">
        <v>174</v>
      </c>
      <c r="B87" s="9" t="s">
        <v>175</v>
      </c>
      <c r="C87" s="9">
        <v>15</v>
      </c>
      <c r="D87" s="9">
        <v>0</v>
      </c>
      <c r="E87" s="9">
        <v>311</v>
      </c>
      <c r="F87" s="9">
        <f t="shared" si="1"/>
        <v>326</v>
      </c>
      <c r="H87" s="10">
        <v>135.29</v>
      </c>
      <c r="I87" s="10">
        <v>0</v>
      </c>
      <c r="J87" s="10">
        <v>79.66</v>
      </c>
      <c r="K87" s="10">
        <v>82.32</v>
      </c>
      <c r="M87" s="10">
        <v>149.92137</v>
      </c>
      <c r="N87" s="10">
        <v>133.89610000000002</v>
      </c>
      <c r="O87" s="10">
        <v>134.66708</v>
      </c>
      <c r="Q87" s="10">
        <v>1221.74</v>
      </c>
      <c r="R87" s="10">
        <v>1702.34</v>
      </c>
      <c r="S87" s="10">
        <v>1679.22</v>
      </c>
    </row>
    <row r="88" spans="1:19" x14ac:dyDescent="0.2">
      <c r="A88" s="9" t="s">
        <v>176</v>
      </c>
      <c r="B88" s="9" t="s">
        <v>177</v>
      </c>
      <c r="C88" s="9">
        <v>4</v>
      </c>
      <c r="D88" s="9">
        <v>0</v>
      </c>
      <c r="E88" s="9">
        <v>49</v>
      </c>
      <c r="F88" s="9">
        <f t="shared" si="1"/>
        <v>53</v>
      </c>
      <c r="H88" s="10">
        <v>95.33</v>
      </c>
      <c r="I88" s="10">
        <v>0</v>
      </c>
      <c r="J88" s="10">
        <v>124.77</v>
      </c>
      <c r="K88" s="10">
        <v>122.45</v>
      </c>
      <c r="M88" s="10">
        <v>94</v>
      </c>
      <c r="N88" s="10">
        <v>106.53866000000001</v>
      </c>
      <c r="O88" s="10">
        <v>105.54877</v>
      </c>
      <c r="Q88" s="10">
        <v>965.27</v>
      </c>
      <c r="R88" s="10">
        <v>1010.19</v>
      </c>
      <c r="S88" s="10">
        <v>1006.64</v>
      </c>
    </row>
    <row r="89" spans="1:19" x14ac:dyDescent="0.2">
      <c r="A89" s="9" t="s">
        <v>178</v>
      </c>
      <c r="B89" s="9" t="s">
        <v>179</v>
      </c>
      <c r="C89" s="9">
        <v>8</v>
      </c>
      <c r="D89" s="9">
        <v>0</v>
      </c>
      <c r="E89" s="9">
        <v>101</v>
      </c>
      <c r="F89" s="9">
        <f t="shared" si="1"/>
        <v>109</v>
      </c>
      <c r="H89" s="10">
        <v>95.71</v>
      </c>
      <c r="I89" s="10">
        <v>0</v>
      </c>
      <c r="J89" s="10">
        <v>84.8</v>
      </c>
      <c r="K89" s="10">
        <v>85.6</v>
      </c>
      <c r="M89" s="10">
        <v>149.28585999999999</v>
      </c>
      <c r="N89" s="10">
        <v>120.94078</v>
      </c>
      <c r="O89" s="10">
        <v>123.07428</v>
      </c>
      <c r="Q89" s="10">
        <v>1559.86</v>
      </c>
      <c r="R89" s="10">
        <v>1536.02</v>
      </c>
      <c r="S89" s="10">
        <v>1537.81</v>
      </c>
    </row>
    <row r="90" spans="1:19" x14ac:dyDescent="0.2">
      <c r="A90" s="9" t="s">
        <v>180</v>
      </c>
      <c r="B90" s="9" t="s">
        <v>181</v>
      </c>
      <c r="C90" s="9">
        <v>5</v>
      </c>
      <c r="D90" s="9">
        <v>0</v>
      </c>
      <c r="E90" s="9">
        <v>98</v>
      </c>
      <c r="F90" s="9">
        <f t="shared" si="1"/>
        <v>103</v>
      </c>
      <c r="H90" s="10">
        <v>112.25</v>
      </c>
      <c r="I90" s="10">
        <v>0</v>
      </c>
      <c r="J90" s="10">
        <v>98.23</v>
      </c>
      <c r="K90" s="10">
        <v>98.89</v>
      </c>
      <c r="M90" s="10">
        <v>120.05681</v>
      </c>
      <c r="N90" s="10">
        <v>76.027500000000003</v>
      </c>
      <c r="O90" s="10">
        <v>78.099469999999997</v>
      </c>
      <c r="Q90" s="10">
        <v>1076.73</v>
      </c>
      <c r="R90" s="10">
        <v>848.13</v>
      </c>
      <c r="S90" s="10">
        <v>858.89</v>
      </c>
    </row>
    <row r="91" spans="1:19" x14ac:dyDescent="0.2">
      <c r="A91" s="9" t="s">
        <v>182</v>
      </c>
      <c r="B91" s="9" t="s">
        <v>183</v>
      </c>
      <c r="C91" s="9">
        <v>177</v>
      </c>
      <c r="D91" s="9">
        <v>11</v>
      </c>
      <c r="E91" s="9">
        <v>356</v>
      </c>
      <c r="F91" s="9">
        <f t="shared" si="1"/>
        <v>544</v>
      </c>
      <c r="H91" s="10">
        <v>79.209999999999994</v>
      </c>
      <c r="I91" s="10">
        <v>84.36</v>
      </c>
      <c r="J91" s="10">
        <v>90.14</v>
      </c>
      <c r="K91" s="10">
        <v>86.44</v>
      </c>
      <c r="M91" s="10">
        <v>67.48908999999999</v>
      </c>
      <c r="N91" s="10">
        <v>102.54949000000001</v>
      </c>
      <c r="O91" s="10">
        <v>90.574130000000011</v>
      </c>
      <c r="Q91" s="10">
        <v>844.73</v>
      </c>
      <c r="R91" s="10">
        <v>1097.6300000000001</v>
      </c>
      <c r="S91" s="10">
        <v>1011.25</v>
      </c>
    </row>
    <row r="92" spans="1:19" x14ac:dyDescent="0.2">
      <c r="A92" s="9" t="s">
        <v>184</v>
      </c>
      <c r="B92" s="9" t="s">
        <v>185</v>
      </c>
      <c r="C92" s="9">
        <v>5</v>
      </c>
      <c r="D92" s="9">
        <v>0</v>
      </c>
      <c r="E92" s="9">
        <v>115</v>
      </c>
      <c r="F92" s="9">
        <f t="shared" si="1"/>
        <v>120</v>
      </c>
      <c r="H92" s="10">
        <v>106.4</v>
      </c>
      <c r="I92" s="10">
        <v>0</v>
      </c>
      <c r="J92" s="10">
        <v>87.67</v>
      </c>
      <c r="K92" s="10">
        <v>88.51</v>
      </c>
      <c r="M92" s="10">
        <v>171.2</v>
      </c>
      <c r="N92" s="10">
        <v>136.03</v>
      </c>
      <c r="O92" s="10">
        <v>137.61423000000002</v>
      </c>
      <c r="Q92" s="10">
        <v>1638.61</v>
      </c>
      <c r="R92" s="10">
        <v>1587.37</v>
      </c>
      <c r="S92" s="10">
        <v>1589.68</v>
      </c>
    </row>
    <row r="93" spans="1:19" x14ac:dyDescent="0.2">
      <c r="A93" s="9" t="s">
        <v>186</v>
      </c>
      <c r="B93" s="9" t="s">
        <v>187</v>
      </c>
      <c r="C93" s="9">
        <v>111</v>
      </c>
      <c r="D93" s="9">
        <v>0</v>
      </c>
      <c r="E93" s="9">
        <v>87</v>
      </c>
      <c r="F93" s="9">
        <f t="shared" si="1"/>
        <v>198</v>
      </c>
      <c r="H93" s="10">
        <v>71.73</v>
      </c>
      <c r="I93" s="10">
        <v>0</v>
      </c>
      <c r="J93" s="10">
        <v>106.85</v>
      </c>
      <c r="K93" s="10">
        <v>87.09</v>
      </c>
      <c r="M93" s="10">
        <v>258.25274999999999</v>
      </c>
      <c r="N93" s="10">
        <v>297.27882</v>
      </c>
      <c r="O93" s="10">
        <v>275.21171999999996</v>
      </c>
      <c r="Q93" s="10">
        <v>3703.08</v>
      </c>
      <c r="R93" s="10">
        <v>3039.86</v>
      </c>
      <c r="S93" s="10">
        <v>3414.87</v>
      </c>
    </row>
    <row r="94" spans="1:19" x14ac:dyDescent="0.2">
      <c r="A94" s="9" t="s">
        <v>188</v>
      </c>
      <c r="B94" s="9" t="s">
        <v>189</v>
      </c>
      <c r="C94" s="9">
        <v>3</v>
      </c>
      <c r="D94" s="9">
        <v>0</v>
      </c>
      <c r="E94" s="9">
        <v>36</v>
      </c>
      <c r="F94" s="9">
        <f t="shared" si="1"/>
        <v>39</v>
      </c>
      <c r="H94" s="10">
        <v>118</v>
      </c>
      <c r="I94" s="10">
        <v>0</v>
      </c>
      <c r="J94" s="10">
        <v>125.06</v>
      </c>
      <c r="K94" s="10">
        <v>124.45</v>
      </c>
      <c r="M94" s="10">
        <v>123</v>
      </c>
      <c r="N94" s="10">
        <v>150.91194000000002</v>
      </c>
      <c r="O94" s="10">
        <v>148.51948999999999</v>
      </c>
      <c r="Q94" s="10">
        <v>1092.28</v>
      </c>
      <c r="R94" s="10">
        <v>1386.18</v>
      </c>
      <c r="S94" s="10">
        <v>1360.99</v>
      </c>
    </row>
    <row r="95" spans="1:19" x14ac:dyDescent="0.2">
      <c r="A95" s="9" t="s">
        <v>190</v>
      </c>
      <c r="B95" s="9" t="s">
        <v>191</v>
      </c>
      <c r="C95" s="9">
        <v>0</v>
      </c>
      <c r="D95" s="9">
        <v>0</v>
      </c>
      <c r="E95" s="9">
        <v>31</v>
      </c>
      <c r="F95" s="9">
        <f t="shared" si="1"/>
        <v>31</v>
      </c>
      <c r="H95" s="10">
        <v>0</v>
      </c>
      <c r="I95" s="10">
        <v>0</v>
      </c>
      <c r="J95" s="10">
        <v>190.2</v>
      </c>
      <c r="K95" s="10">
        <v>190.2</v>
      </c>
      <c r="M95" s="10">
        <v>0</v>
      </c>
      <c r="N95" s="10">
        <v>426.28</v>
      </c>
      <c r="O95" s="10">
        <v>426.28</v>
      </c>
      <c r="Q95" s="10">
        <v>0</v>
      </c>
      <c r="R95" s="10">
        <v>2542.2800000000002</v>
      </c>
      <c r="S95" s="10">
        <v>2542.2800000000002</v>
      </c>
    </row>
    <row r="96" spans="1:19" x14ac:dyDescent="0.2">
      <c r="A96" s="9" t="s">
        <v>192</v>
      </c>
      <c r="B96" s="9" t="s">
        <v>193</v>
      </c>
      <c r="C96" s="9">
        <v>188</v>
      </c>
      <c r="D96" s="9">
        <v>0</v>
      </c>
      <c r="E96" s="9">
        <v>666</v>
      </c>
      <c r="F96" s="9">
        <f t="shared" si="1"/>
        <v>854</v>
      </c>
      <c r="H96" s="10">
        <v>91.54</v>
      </c>
      <c r="I96" s="10">
        <v>0</v>
      </c>
      <c r="J96" s="10">
        <v>85.1</v>
      </c>
      <c r="K96" s="10">
        <v>85.96</v>
      </c>
      <c r="M96" s="10">
        <v>174.86354999999998</v>
      </c>
      <c r="N96" s="10">
        <v>167.31581</v>
      </c>
      <c r="O96" s="10">
        <v>168.33226999999999</v>
      </c>
      <c r="Q96" s="10">
        <v>2063.42</v>
      </c>
      <c r="R96" s="10">
        <v>2052.19</v>
      </c>
      <c r="S96" s="10">
        <v>2053.6999999999998</v>
      </c>
    </row>
    <row r="97" spans="1:19" x14ac:dyDescent="0.2">
      <c r="A97" s="9" t="s">
        <v>194</v>
      </c>
      <c r="B97" s="9" t="s">
        <v>195</v>
      </c>
      <c r="C97" s="9">
        <v>10</v>
      </c>
      <c r="D97" s="9">
        <v>0</v>
      </c>
      <c r="E97" s="9">
        <v>27</v>
      </c>
      <c r="F97" s="9">
        <f t="shared" si="1"/>
        <v>37</v>
      </c>
      <c r="H97" s="10">
        <v>132.80000000000001</v>
      </c>
      <c r="I97" s="10">
        <v>0</v>
      </c>
      <c r="J97" s="10">
        <v>108.93</v>
      </c>
      <c r="K97" s="10">
        <v>115.38</v>
      </c>
      <c r="M97" s="10">
        <v>137.35</v>
      </c>
      <c r="N97" s="10">
        <v>148.4616</v>
      </c>
      <c r="O97" s="10">
        <v>145.45846</v>
      </c>
      <c r="Q97" s="10">
        <v>1136.52</v>
      </c>
      <c r="R97" s="10">
        <v>1774.09</v>
      </c>
      <c r="S97" s="10">
        <v>1601.77</v>
      </c>
    </row>
    <row r="98" spans="1:19" x14ac:dyDescent="0.2">
      <c r="A98" s="9" t="s">
        <v>196</v>
      </c>
      <c r="B98" s="9" t="s">
        <v>197</v>
      </c>
      <c r="C98" s="9">
        <v>61</v>
      </c>
      <c r="D98" s="9">
        <v>0</v>
      </c>
      <c r="E98" s="9">
        <v>87</v>
      </c>
      <c r="F98" s="9">
        <f t="shared" si="1"/>
        <v>148</v>
      </c>
      <c r="H98" s="10">
        <v>96.15</v>
      </c>
      <c r="I98" s="10">
        <v>0</v>
      </c>
      <c r="J98" s="10">
        <v>90.05</v>
      </c>
      <c r="K98" s="10">
        <v>92.65</v>
      </c>
      <c r="M98" s="10">
        <v>220.93869000000001</v>
      </c>
      <c r="N98" s="10">
        <v>220.13576999999998</v>
      </c>
      <c r="O98" s="10">
        <v>220.48487</v>
      </c>
      <c r="Q98" s="10">
        <v>2373.88</v>
      </c>
      <c r="R98" s="10">
        <v>2463.48</v>
      </c>
      <c r="S98" s="10">
        <v>2424.52</v>
      </c>
    </row>
    <row r="99" spans="1:19" x14ac:dyDescent="0.2">
      <c r="A99" s="9" t="s">
        <v>198</v>
      </c>
      <c r="B99" s="9" t="s">
        <v>199</v>
      </c>
      <c r="C99" s="9">
        <v>4</v>
      </c>
      <c r="D99" s="9">
        <v>0</v>
      </c>
      <c r="E99" s="9">
        <v>58</v>
      </c>
      <c r="F99" s="9">
        <f t="shared" si="1"/>
        <v>62</v>
      </c>
      <c r="H99" s="10">
        <v>88</v>
      </c>
      <c r="I99" s="10">
        <v>0</v>
      </c>
      <c r="J99" s="10">
        <v>85.46</v>
      </c>
      <c r="K99" s="10">
        <v>85.65</v>
      </c>
      <c r="M99" s="10">
        <v>39.25</v>
      </c>
      <c r="N99" s="10">
        <v>67.894000000000005</v>
      </c>
      <c r="O99" s="10">
        <v>65.555710000000005</v>
      </c>
      <c r="Q99" s="10">
        <v>443.59</v>
      </c>
      <c r="R99" s="10">
        <v>850.84</v>
      </c>
      <c r="S99" s="10">
        <v>817.6</v>
      </c>
    </row>
    <row r="100" spans="1:19" x14ac:dyDescent="0.2">
      <c r="A100" s="9" t="s">
        <v>200</v>
      </c>
      <c r="B100" s="9" t="s">
        <v>201</v>
      </c>
      <c r="C100" s="9">
        <v>30</v>
      </c>
      <c r="D100" s="9">
        <v>3</v>
      </c>
      <c r="E100" s="9">
        <v>180</v>
      </c>
      <c r="F100" s="9">
        <f t="shared" si="1"/>
        <v>213</v>
      </c>
      <c r="H100" s="10">
        <v>80.209999999999994</v>
      </c>
      <c r="I100" s="10">
        <v>96.33</v>
      </c>
      <c r="J100" s="10">
        <v>82.63</v>
      </c>
      <c r="K100" s="10">
        <v>82.49</v>
      </c>
      <c r="M100" s="10">
        <v>129.20964000000001</v>
      </c>
      <c r="N100" s="10">
        <v>142.85285999999999</v>
      </c>
      <c r="O100" s="10">
        <v>140.66994</v>
      </c>
      <c r="Q100" s="10">
        <v>1626.49</v>
      </c>
      <c r="R100" s="10">
        <v>1829.54</v>
      </c>
      <c r="S100" s="10">
        <v>1797.05</v>
      </c>
    </row>
    <row r="101" spans="1:19" x14ac:dyDescent="0.2">
      <c r="A101" s="9" t="s">
        <v>202</v>
      </c>
      <c r="B101" s="9" t="s">
        <v>203</v>
      </c>
      <c r="C101" s="9">
        <v>0</v>
      </c>
      <c r="D101" s="9">
        <v>1</v>
      </c>
      <c r="E101" s="9">
        <v>33</v>
      </c>
      <c r="F101" s="9">
        <f t="shared" si="1"/>
        <v>34</v>
      </c>
      <c r="H101" s="10">
        <v>0</v>
      </c>
      <c r="I101" s="10">
        <v>0</v>
      </c>
      <c r="J101" s="10">
        <v>87.45</v>
      </c>
      <c r="K101" s="10">
        <v>87.45</v>
      </c>
      <c r="M101" s="10">
        <v>0</v>
      </c>
      <c r="N101" s="10">
        <v>95.534700000000001</v>
      </c>
      <c r="O101" s="10">
        <v>95.534700000000001</v>
      </c>
      <c r="Q101" s="10">
        <v>0</v>
      </c>
      <c r="R101" s="10">
        <v>1064.8699999999999</v>
      </c>
      <c r="S101" s="10">
        <v>1064.8699999999999</v>
      </c>
    </row>
    <row r="102" spans="1:19" x14ac:dyDescent="0.2">
      <c r="A102" s="9" t="s">
        <v>204</v>
      </c>
      <c r="B102" s="9" t="s">
        <v>205</v>
      </c>
      <c r="C102" s="9">
        <v>43</v>
      </c>
      <c r="D102" s="9">
        <v>0</v>
      </c>
      <c r="E102" s="9">
        <v>164</v>
      </c>
      <c r="F102" s="9">
        <f t="shared" si="1"/>
        <v>207</v>
      </c>
      <c r="H102" s="10">
        <v>92.86</v>
      </c>
      <c r="I102" s="10">
        <v>0</v>
      </c>
      <c r="J102" s="10">
        <v>76.94</v>
      </c>
      <c r="K102" s="10">
        <v>80.19</v>
      </c>
      <c r="M102" s="10">
        <v>173.79751000000002</v>
      </c>
      <c r="N102" s="10">
        <v>142.21889999999999</v>
      </c>
      <c r="O102" s="10">
        <v>149.01196999999999</v>
      </c>
      <c r="Q102" s="10">
        <v>2035.99</v>
      </c>
      <c r="R102" s="10">
        <v>1818.79</v>
      </c>
      <c r="S102" s="10">
        <v>1865.51</v>
      </c>
    </row>
    <row r="103" spans="1:19" x14ac:dyDescent="0.2">
      <c r="A103" s="9" t="s">
        <v>206</v>
      </c>
      <c r="B103" s="9" t="s">
        <v>207</v>
      </c>
      <c r="C103" s="9">
        <v>4</v>
      </c>
      <c r="D103" s="9">
        <v>0</v>
      </c>
      <c r="E103" s="9">
        <v>39</v>
      </c>
      <c r="F103" s="9">
        <f t="shared" si="1"/>
        <v>43</v>
      </c>
      <c r="H103" s="10">
        <v>154.5</v>
      </c>
      <c r="I103" s="10">
        <v>0</v>
      </c>
      <c r="J103" s="10">
        <v>103.03</v>
      </c>
      <c r="K103" s="10">
        <v>107.93</v>
      </c>
      <c r="M103" s="10">
        <v>338.50024999999999</v>
      </c>
      <c r="N103" s="10">
        <v>288.64219000000003</v>
      </c>
      <c r="O103" s="10">
        <v>293.50639000000001</v>
      </c>
      <c r="Q103" s="10">
        <v>2039.38</v>
      </c>
      <c r="R103" s="10">
        <v>2851.78</v>
      </c>
      <c r="S103" s="10">
        <v>2772.52</v>
      </c>
    </row>
    <row r="104" spans="1:19" x14ac:dyDescent="0.2">
      <c r="A104" s="9" t="s">
        <v>208</v>
      </c>
      <c r="B104" s="9" t="s">
        <v>209</v>
      </c>
      <c r="C104" s="9">
        <v>4</v>
      </c>
      <c r="D104" s="9">
        <v>0</v>
      </c>
      <c r="E104" s="9">
        <v>19</v>
      </c>
      <c r="F104" s="9">
        <f t="shared" si="1"/>
        <v>23</v>
      </c>
      <c r="H104" s="10">
        <v>84.75</v>
      </c>
      <c r="I104" s="10">
        <v>0</v>
      </c>
      <c r="J104" s="10">
        <v>88.44</v>
      </c>
      <c r="K104" s="10">
        <v>87.7</v>
      </c>
      <c r="M104" s="10">
        <v>125.5</v>
      </c>
      <c r="N104" s="10">
        <v>153.14599999999999</v>
      </c>
      <c r="O104" s="10">
        <v>147.32579000000001</v>
      </c>
      <c r="Q104" s="10">
        <v>1509.52</v>
      </c>
      <c r="R104" s="10">
        <v>1833.83</v>
      </c>
      <c r="S104" s="10">
        <v>1765.55</v>
      </c>
    </row>
    <row r="105" spans="1:19" x14ac:dyDescent="0.2">
      <c r="A105" s="9" t="s">
        <v>210</v>
      </c>
      <c r="B105" s="9" t="s">
        <v>211</v>
      </c>
      <c r="C105" s="9">
        <v>11</v>
      </c>
      <c r="D105" s="9">
        <v>0</v>
      </c>
      <c r="E105" s="9">
        <v>61</v>
      </c>
      <c r="F105" s="9">
        <f t="shared" si="1"/>
        <v>72</v>
      </c>
      <c r="H105" s="10">
        <v>86.14</v>
      </c>
      <c r="I105" s="10">
        <v>0</v>
      </c>
      <c r="J105" s="10">
        <v>80.180000000000007</v>
      </c>
      <c r="K105" s="10">
        <v>80.900000000000006</v>
      </c>
      <c r="M105" s="10">
        <v>124.14286</v>
      </c>
      <c r="N105" s="10">
        <v>156.87532999999999</v>
      </c>
      <c r="O105" s="10">
        <v>152.46904000000001</v>
      </c>
      <c r="Q105" s="10">
        <v>1475.55</v>
      </c>
      <c r="R105" s="10">
        <v>1904.85</v>
      </c>
      <c r="S105" s="10">
        <v>1847.06</v>
      </c>
    </row>
    <row r="106" spans="1:19" x14ac:dyDescent="0.2">
      <c r="A106" s="9" t="s">
        <v>212</v>
      </c>
      <c r="B106" s="9" t="s">
        <v>213</v>
      </c>
      <c r="C106" s="9">
        <v>0</v>
      </c>
      <c r="D106" s="9">
        <v>0</v>
      </c>
      <c r="E106" s="9">
        <v>237</v>
      </c>
      <c r="F106" s="9">
        <f t="shared" si="1"/>
        <v>237</v>
      </c>
      <c r="H106" s="10">
        <v>0</v>
      </c>
      <c r="I106" s="10">
        <v>0</v>
      </c>
      <c r="J106" s="10">
        <v>96.38</v>
      </c>
      <c r="K106" s="10">
        <v>96.38</v>
      </c>
      <c r="M106" s="10">
        <v>0</v>
      </c>
      <c r="N106" s="10">
        <v>131.63348999999999</v>
      </c>
      <c r="O106" s="10">
        <v>131.63348999999999</v>
      </c>
      <c r="Q106" s="10">
        <v>0</v>
      </c>
      <c r="R106" s="10">
        <v>1493.92</v>
      </c>
      <c r="S106" s="10">
        <v>1493.92</v>
      </c>
    </row>
    <row r="107" spans="1:19" x14ac:dyDescent="0.2">
      <c r="A107" s="9" t="s">
        <v>214</v>
      </c>
      <c r="B107" s="9" t="s">
        <v>215</v>
      </c>
      <c r="C107" s="9">
        <v>2</v>
      </c>
      <c r="D107" s="9">
        <v>0</v>
      </c>
      <c r="E107" s="9">
        <v>23</v>
      </c>
      <c r="F107" s="9">
        <f t="shared" si="1"/>
        <v>25</v>
      </c>
      <c r="H107" s="10">
        <v>84.5</v>
      </c>
      <c r="I107" s="10">
        <v>0</v>
      </c>
      <c r="J107" s="10">
        <v>122.4</v>
      </c>
      <c r="K107" s="10">
        <v>116.08</v>
      </c>
      <c r="M107" s="10">
        <v>0</v>
      </c>
      <c r="N107" s="10">
        <v>64.716300000000004</v>
      </c>
      <c r="O107" s="10">
        <v>69.846919999999997</v>
      </c>
      <c r="Q107" s="10">
        <v>0</v>
      </c>
      <c r="R107" s="10">
        <v>592.48</v>
      </c>
      <c r="S107" s="10">
        <v>656.46</v>
      </c>
    </row>
    <row r="108" spans="1:19" x14ac:dyDescent="0.2">
      <c r="A108" s="9" t="s">
        <v>216</v>
      </c>
      <c r="B108" s="9" t="s">
        <v>217</v>
      </c>
      <c r="C108" s="9">
        <v>8</v>
      </c>
      <c r="D108" s="9">
        <v>0</v>
      </c>
      <c r="E108" s="9">
        <v>10</v>
      </c>
      <c r="F108" s="9">
        <f t="shared" si="1"/>
        <v>18</v>
      </c>
      <c r="H108" s="10">
        <v>103.43</v>
      </c>
      <c r="I108" s="10">
        <v>0</v>
      </c>
      <c r="J108" s="10">
        <v>99.5</v>
      </c>
      <c r="K108" s="10">
        <v>101.12</v>
      </c>
      <c r="M108" s="10">
        <v>159.57142999999999</v>
      </c>
      <c r="N108" s="10">
        <v>133.0926</v>
      </c>
      <c r="O108" s="10">
        <v>143.99564999999998</v>
      </c>
      <c r="Q108" s="10">
        <v>1456.11</v>
      </c>
      <c r="R108" s="10">
        <v>1320.64</v>
      </c>
      <c r="S108" s="10">
        <v>1376.42</v>
      </c>
    </row>
    <row r="109" spans="1:19" x14ac:dyDescent="0.2">
      <c r="A109" s="9" t="s">
        <v>218</v>
      </c>
      <c r="B109" s="9" t="s">
        <v>219</v>
      </c>
      <c r="C109" s="9">
        <v>6</v>
      </c>
      <c r="D109" s="9">
        <v>0</v>
      </c>
      <c r="E109" s="9">
        <v>18</v>
      </c>
      <c r="F109" s="9">
        <f t="shared" si="1"/>
        <v>24</v>
      </c>
      <c r="H109" s="10">
        <v>81.17</v>
      </c>
      <c r="I109" s="10">
        <v>0</v>
      </c>
      <c r="J109" s="10">
        <v>104.71</v>
      </c>
      <c r="K109" s="10">
        <v>98.57</v>
      </c>
      <c r="M109" s="10">
        <v>78.133330000000001</v>
      </c>
      <c r="N109" s="10">
        <v>94.37124</v>
      </c>
      <c r="O109" s="10">
        <v>90.135259999999988</v>
      </c>
      <c r="Q109" s="10">
        <v>901.68</v>
      </c>
      <c r="R109" s="10">
        <v>920.22</v>
      </c>
      <c r="S109" s="10">
        <v>915.38</v>
      </c>
    </row>
    <row r="110" spans="1:19" x14ac:dyDescent="0.2">
      <c r="A110" s="9" t="s">
        <v>220</v>
      </c>
      <c r="B110" s="9" t="s">
        <v>221</v>
      </c>
      <c r="C110" s="9">
        <v>0</v>
      </c>
      <c r="D110" s="9">
        <v>0</v>
      </c>
      <c r="E110" s="9">
        <v>125</v>
      </c>
      <c r="F110" s="9">
        <f t="shared" si="1"/>
        <v>125</v>
      </c>
      <c r="H110" s="10">
        <v>0</v>
      </c>
      <c r="I110" s="10">
        <v>0</v>
      </c>
      <c r="J110" s="10">
        <v>94.62</v>
      </c>
      <c r="K110" s="10">
        <v>94.62</v>
      </c>
      <c r="M110" s="10">
        <v>0</v>
      </c>
      <c r="N110" s="10">
        <v>137.76717000000002</v>
      </c>
      <c r="O110" s="10">
        <v>137.76717000000002</v>
      </c>
      <c r="Q110" s="10">
        <v>0</v>
      </c>
      <c r="R110" s="10">
        <v>1571.75</v>
      </c>
      <c r="S110" s="10">
        <v>1571.75</v>
      </c>
    </row>
    <row r="111" spans="1:19" x14ac:dyDescent="0.2">
      <c r="A111" s="9" t="s">
        <v>222</v>
      </c>
      <c r="B111" s="9" t="s">
        <v>223</v>
      </c>
      <c r="C111" s="9">
        <v>38</v>
      </c>
      <c r="D111" s="9">
        <v>6</v>
      </c>
      <c r="E111" s="9">
        <v>98</v>
      </c>
      <c r="F111" s="9">
        <f t="shared" si="1"/>
        <v>142</v>
      </c>
      <c r="H111" s="10">
        <v>111.88</v>
      </c>
      <c r="I111" s="10">
        <v>85.2</v>
      </c>
      <c r="J111" s="10">
        <v>101.41</v>
      </c>
      <c r="K111" s="10">
        <v>103.49</v>
      </c>
      <c r="M111" s="10">
        <v>135.66110999999998</v>
      </c>
      <c r="N111" s="10">
        <v>126.55011999999999</v>
      </c>
      <c r="O111" s="10">
        <v>129.36624</v>
      </c>
      <c r="Q111" s="10">
        <v>1330.06</v>
      </c>
      <c r="R111" s="10">
        <v>1299.98</v>
      </c>
      <c r="S111" s="10">
        <v>1309.28</v>
      </c>
    </row>
    <row r="112" spans="1:19" x14ac:dyDescent="0.2">
      <c r="A112" s="9" t="s">
        <v>224</v>
      </c>
      <c r="B112" s="9" t="s">
        <v>225</v>
      </c>
      <c r="C112" s="9">
        <v>11</v>
      </c>
      <c r="D112" s="9">
        <v>0</v>
      </c>
      <c r="E112" s="9">
        <v>45</v>
      </c>
      <c r="F112" s="9">
        <f t="shared" si="1"/>
        <v>56</v>
      </c>
      <c r="H112" s="10">
        <v>83.44</v>
      </c>
      <c r="I112" s="10">
        <v>0</v>
      </c>
      <c r="J112" s="10">
        <v>100.76</v>
      </c>
      <c r="K112" s="10">
        <v>97.64</v>
      </c>
      <c r="M112" s="10">
        <v>101.86444</v>
      </c>
      <c r="N112" s="10">
        <v>128.66526999999999</v>
      </c>
      <c r="O112" s="10">
        <v>123.64011000000001</v>
      </c>
      <c r="Q112" s="10">
        <v>1365.57</v>
      </c>
      <c r="R112" s="10">
        <v>1421.04</v>
      </c>
      <c r="S112" s="10">
        <v>1410.64</v>
      </c>
    </row>
    <row r="113" spans="1:19" x14ac:dyDescent="0.2">
      <c r="A113" s="9" t="s">
        <v>226</v>
      </c>
      <c r="B113" s="9" t="s">
        <v>227</v>
      </c>
      <c r="C113" s="9">
        <v>37</v>
      </c>
      <c r="D113" s="9">
        <v>0</v>
      </c>
      <c r="E113" s="9">
        <v>133</v>
      </c>
      <c r="F113" s="9">
        <f t="shared" si="1"/>
        <v>170</v>
      </c>
      <c r="H113" s="10">
        <v>110.44</v>
      </c>
      <c r="I113" s="10">
        <v>0</v>
      </c>
      <c r="J113" s="10">
        <v>98.68</v>
      </c>
      <c r="K113" s="10">
        <v>101.58</v>
      </c>
      <c r="M113" s="10">
        <v>391.24132000000003</v>
      </c>
      <c r="N113" s="10">
        <v>244.53172000000001</v>
      </c>
      <c r="O113" s="10">
        <v>281.46560999999997</v>
      </c>
      <c r="Q113" s="10">
        <v>3531.13</v>
      </c>
      <c r="R113" s="10">
        <v>2437.6</v>
      </c>
      <c r="S113" s="10">
        <v>2712.89</v>
      </c>
    </row>
    <row r="114" spans="1:19" x14ac:dyDescent="0.2">
      <c r="A114" s="9" t="s">
        <v>228</v>
      </c>
      <c r="B114" s="9" t="s">
        <v>229</v>
      </c>
      <c r="C114" s="9">
        <v>107</v>
      </c>
      <c r="D114" s="9">
        <v>1</v>
      </c>
      <c r="E114" s="9">
        <v>111</v>
      </c>
      <c r="F114" s="9">
        <f t="shared" si="1"/>
        <v>219</v>
      </c>
      <c r="H114" s="10">
        <v>86.7</v>
      </c>
      <c r="I114" s="10">
        <v>79</v>
      </c>
      <c r="J114" s="10">
        <v>79.400000000000006</v>
      </c>
      <c r="K114" s="10">
        <v>82.96</v>
      </c>
      <c r="M114" s="10">
        <v>227.64886999999999</v>
      </c>
      <c r="N114" s="10">
        <v>137.76268999999999</v>
      </c>
      <c r="O114" s="10">
        <v>181.82454000000001</v>
      </c>
      <c r="Q114" s="10">
        <v>2608.3000000000002</v>
      </c>
      <c r="R114" s="10">
        <v>1897.42</v>
      </c>
      <c r="S114" s="10">
        <v>2245.89</v>
      </c>
    </row>
    <row r="115" spans="1:19" x14ac:dyDescent="0.2">
      <c r="A115" s="9" t="s">
        <v>230</v>
      </c>
      <c r="B115" s="9" t="s">
        <v>231</v>
      </c>
      <c r="C115" s="9">
        <v>4</v>
      </c>
      <c r="D115" s="9">
        <v>0</v>
      </c>
      <c r="E115" s="9">
        <v>42</v>
      </c>
      <c r="F115" s="9">
        <f t="shared" si="1"/>
        <v>46</v>
      </c>
      <c r="H115" s="10">
        <v>173</v>
      </c>
      <c r="I115" s="10">
        <v>0</v>
      </c>
      <c r="J115" s="10">
        <v>119.7</v>
      </c>
      <c r="K115" s="10">
        <v>123.42</v>
      </c>
      <c r="M115" s="10">
        <v>264.66667000000001</v>
      </c>
      <c r="N115" s="10">
        <v>213.3021</v>
      </c>
      <c r="O115" s="10">
        <v>216.88567</v>
      </c>
      <c r="Q115" s="10">
        <v>1587.28</v>
      </c>
      <c r="R115" s="10">
        <v>1903.58</v>
      </c>
      <c r="S115" s="10">
        <v>1881.51</v>
      </c>
    </row>
    <row r="116" spans="1:19" x14ac:dyDescent="0.2">
      <c r="A116" s="9" t="s">
        <v>232</v>
      </c>
      <c r="B116" s="9" t="s">
        <v>233</v>
      </c>
      <c r="C116" s="9">
        <v>20</v>
      </c>
      <c r="D116" s="9">
        <v>0</v>
      </c>
      <c r="E116" s="9">
        <v>54</v>
      </c>
      <c r="F116" s="9">
        <f t="shared" si="1"/>
        <v>74</v>
      </c>
      <c r="H116" s="10">
        <v>119.17</v>
      </c>
      <c r="I116" s="10">
        <v>0</v>
      </c>
      <c r="J116" s="10">
        <v>122.45</v>
      </c>
      <c r="K116" s="10">
        <v>121.47</v>
      </c>
      <c r="M116" s="10">
        <v>231.72005999999999</v>
      </c>
      <c r="N116" s="10">
        <v>213.58267999999998</v>
      </c>
      <c r="O116" s="10">
        <v>219.11612</v>
      </c>
      <c r="Q116" s="10">
        <v>2091.21</v>
      </c>
      <c r="R116" s="10">
        <v>1947.38</v>
      </c>
      <c r="S116" s="10">
        <v>1991.26</v>
      </c>
    </row>
    <row r="117" spans="1:19" x14ac:dyDescent="0.2">
      <c r="A117" s="9" t="s">
        <v>234</v>
      </c>
      <c r="B117" s="9" t="s">
        <v>235</v>
      </c>
      <c r="C117" s="9">
        <v>19</v>
      </c>
      <c r="D117" s="9">
        <v>0</v>
      </c>
      <c r="E117" s="9">
        <v>80</v>
      </c>
      <c r="F117" s="9">
        <f t="shared" si="1"/>
        <v>99</v>
      </c>
      <c r="H117" s="10">
        <v>101.25</v>
      </c>
      <c r="I117" s="10">
        <v>0</v>
      </c>
      <c r="J117" s="10">
        <v>83.13</v>
      </c>
      <c r="K117" s="10">
        <v>86.75</v>
      </c>
      <c r="M117" s="10">
        <v>161.92042999999998</v>
      </c>
      <c r="N117" s="10">
        <v>168.10484</v>
      </c>
      <c r="O117" s="10">
        <v>166.83624</v>
      </c>
      <c r="Q117" s="10">
        <v>1655.06</v>
      </c>
      <c r="R117" s="10">
        <v>2126.16</v>
      </c>
      <c r="S117" s="10">
        <v>2029.52</v>
      </c>
    </row>
    <row r="118" spans="1:19" x14ac:dyDescent="0.2">
      <c r="A118" s="9" t="s">
        <v>236</v>
      </c>
      <c r="B118" s="9" t="s">
        <v>237</v>
      </c>
      <c r="C118" s="9">
        <v>10</v>
      </c>
      <c r="D118" s="9">
        <v>0</v>
      </c>
      <c r="E118" s="9">
        <v>102</v>
      </c>
      <c r="F118" s="9">
        <f t="shared" si="1"/>
        <v>112</v>
      </c>
      <c r="H118" s="10">
        <v>96.78</v>
      </c>
      <c r="I118" s="10">
        <v>0</v>
      </c>
      <c r="J118" s="10">
        <v>121.16</v>
      </c>
      <c r="K118" s="10">
        <v>119.03</v>
      </c>
      <c r="M118" s="10">
        <v>101.27378</v>
      </c>
      <c r="N118" s="10">
        <v>120.08551</v>
      </c>
      <c r="O118" s="10">
        <v>118.40922</v>
      </c>
      <c r="Q118" s="10">
        <v>1258.44</v>
      </c>
      <c r="R118" s="10">
        <v>1129.8599999999999</v>
      </c>
      <c r="S118" s="10">
        <v>1141.32</v>
      </c>
    </row>
    <row r="119" spans="1:19" x14ac:dyDescent="0.2">
      <c r="A119" s="9" t="s">
        <v>238</v>
      </c>
      <c r="B119" s="9" t="s">
        <v>239</v>
      </c>
      <c r="C119" s="9">
        <v>45</v>
      </c>
      <c r="D119" s="9">
        <v>0</v>
      </c>
      <c r="E119" s="9">
        <v>204</v>
      </c>
      <c r="F119" s="9">
        <f t="shared" si="1"/>
        <v>249</v>
      </c>
      <c r="H119" s="10">
        <v>82.79</v>
      </c>
      <c r="I119" s="10">
        <v>0</v>
      </c>
      <c r="J119" s="10">
        <v>82.87</v>
      </c>
      <c r="K119" s="10">
        <v>82.86</v>
      </c>
      <c r="M119" s="10">
        <v>136.00663</v>
      </c>
      <c r="N119" s="10">
        <v>123.15949000000001</v>
      </c>
      <c r="O119" s="10">
        <v>125.55095</v>
      </c>
      <c r="Q119" s="10">
        <v>1670.01</v>
      </c>
      <c r="R119" s="10">
        <v>1587.37</v>
      </c>
      <c r="S119" s="10">
        <v>1602.75</v>
      </c>
    </row>
    <row r="120" spans="1:19" x14ac:dyDescent="0.2">
      <c r="A120" s="9" t="s">
        <v>240</v>
      </c>
      <c r="B120" s="9" t="s">
        <v>241</v>
      </c>
      <c r="C120" s="9">
        <v>4</v>
      </c>
      <c r="D120" s="9">
        <v>3</v>
      </c>
      <c r="E120" s="9">
        <v>39</v>
      </c>
      <c r="F120" s="9">
        <f t="shared" si="1"/>
        <v>46</v>
      </c>
      <c r="H120" s="10">
        <v>133.75</v>
      </c>
      <c r="I120" s="10">
        <v>84.67</v>
      </c>
      <c r="J120" s="10">
        <v>94.62</v>
      </c>
      <c r="K120" s="10">
        <v>97.71</v>
      </c>
      <c r="M120" s="10">
        <v>164</v>
      </c>
      <c r="N120" s="10">
        <v>150.58387999999999</v>
      </c>
      <c r="O120" s="10">
        <v>152.03426999999999</v>
      </c>
      <c r="Q120" s="10">
        <v>1310.58</v>
      </c>
      <c r="R120" s="10">
        <v>1637.64</v>
      </c>
      <c r="S120" s="10">
        <v>1602.28</v>
      </c>
    </row>
    <row r="121" spans="1:19" x14ac:dyDescent="0.2">
      <c r="A121" s="9" t="s">
        <v>242</v>
      </c>
      <c r="B121" s="9" t="s">
        <v>243</v>
      </c>
      <c r="C121" s="9">
        <v>32</v>
      </c>
      <c r="D121" s="9">
        <v>0</v>
      </c>
      <c r="E121" s="9">
        <v>236</v>
      </c>
      <c r="F121" s="9">
        <f t="shared" si="1"/>
        <v>268</v>
      </c>
      <c r="H121" s="10">
        <v>91.38</v>
      </c>
      <c r="I121" s="10">
        <v>0</v>
      </c>
      <c r="J121" s="10">
        <v>75.13</v>
      </c>
      <c r="K121" s="10">
        <v>77.319999999999993</v>
      </c>
      <c r="M121" s="10">
        <v>265.23505999999998</v>
      </c>
      <c r="N121" s="10">
        <v>177.89304999999999</v>
      </c>
      <c r="O121" s="10">
        <v>190.15158</v>
      </c>
      <c r="Q121" s="10">
        <v>2946.2</v>
      </c>
      <c r="R121" s="10">
        <v>2444.52</v>
      </c>
      <c r="S121" s="10">
        <v>2514.9299999999998</v>
      </c>
    </row>
    <row r="122" spans="1:19" x14ac:dyDescent="0.2">
      <c r="A122" s="9" t="s">
        <v>244</v>
      </c>
      <c r="B122" s="9" t="s">
        <v>245</v>
      </c>
      <c r="C122" s="9">
        <v>0</v>
      </c>
      <c r="D122" s="9">
        <v>0</v>
      </c>
      <c r="E122" s="9">
        <v>61</v>
      </c>
      <c r="F122" s="9">
        <f t="shared" si="1"/>
        <v>61</v>
      </c>
      <c r="H122" s="10">
        <v>0</v>
      </c>
      <c r="I122" s="10">
        <v>0</v>
      </c>
      <c r="J122" s="10">
        <v>177.73</v>
      </c>
      <c r="K122" s="10">
        <v>177.73</v>
      </c>
      <c r="M122" s="10">
        <v>0</v>
      </c>
      <c r="N122" s="10">
        <v>416.65196000000003</v>
      </c>
      <c r="O122" s="10">
        <v>416.65196000000003</v>
      </c>
      <c r="Q122" s="10">
        <v>0</v>
      </c>
      <c r="R122" s="10">
        <v>2632.87</v>
      </c>
      <c r="S122" s="10">
        <v>2632.87</v>
      </c>
    </row>
    <row r="123" spans="1:19" x14ac:dyDescent="0.2">
      <c r="A123" s="9" t="s">
        <v>246</v>
      </c>
      <c r="B123" s="9" t="s">
        <v>247</v>
      </c>
      <c r="C123" s="9">
        <v>4</v>
      </c>
      <c r="D123" s="9">
        <v>0</v>
      </c>
      <c r="E123" s="9">
        <v>121</v>
      </c>
      <c r="F123" s="9">
        <f t="shared" si="1"/>
        <v>125</v>
      </c>
      <c r="H123" s="10">
        <v>80</v>
      </c>
      <c r="I123" s="10">
        <v>0</v>
      </c>
      <c r="J123" s="10">
        <v>105.85</v>
      </c>
      <c r="K123" s="10">
        <v>105.39</v>
      </c>
      <c r="M123" s="10">
        <v>224.5</v>
      </c>
      <c r="N123" s="10">
        <v>258.49005999999997</v>
      </c>
      <c r="O123" s="10">
        <v>257.88308999999998</v>
      </c>
      <c r="Q123" s="10">
        <v>2806.25</v>
      </c>
      <c r="R123" s="10">
        <v>2553.11</v>
      </c>
      <c r="S123" s="10">
        <v>2557.63</v>
      </c>
    </row>
    <row r="124" spans="1:19" x14ac:dyDescent="0.2">
      <c r="A124" s="9" t="s">
        <v>248</v>
      </c>
      <c r="B124" s="9" t="s">
        <v>249</v>
      </c>
      <c r="C124" s="9">
        <v>5</v>
      </c>
      <c r="D124" s="9">
        <v>0</v>
      </c>
      <c r="E124" s="9">
        <v>47</v>
      </c>
      <c r="F124" s="9">
        <f t="shared" si="1"/>
        <v>52</v>
      </c>
      <c r="H124" s="10">
        <v>155.4</v>
      </c>
      <c r="I124" s="10">
        <v>0</v>
      </c>
      <c r="J124" s="10">
        <v>96.43</v>
      </c>
      <c r="K124" s="10">
        <v>102.7</v>
      </c>
      <c r="M124" s="10">
        <v>278.39999999999998</v>
      </c>
      <c r="N124" s="10">
        <v>166.96723</v>
      </c>
      <c r="O124" s="10">
        <v>179.07948999999999</v>
      </c>
      <c r="Q124" s="10">
        <v>1743.51</v>
      </c>
      <c r="R124" s="10">
        <v>1774.36</v>
      </c>
      <c r="S124" s="10">
        <v>1771.01</v>
      </c>
    </row>
    <row r="125" spans="1:19" x14ac:dyDescent="0.2">
      <c r="A125" s="9" t="s">
        <v>250</v>
      </c>
      <c r="B125" s="9" t="s">
        <v>251</v>
      </c>
      <c r="C125" s="9">
        <v>49</v>
      </c>
      <c r="D125" s="9">
        <v>16</v>
      </c>
      <c r="E125" s="9">
        <v>603</v>
      </c>
      <c r="F125" s="9">
        <f t="shared" si="1"/>
        <v>668</v>
      </c>
      <c r="H125" s="10">
        <v>117.89</v>
      </c>
      <c r="I125" s="10">
        <v>74.53</v>
      </c>
      <c r="J125" s="10">
        <v>84.69</v>
      </c>
      <c r="K125" s="10">
        <v>87.01</v>
      </c>
      <c r="M125" s="10">
        <v>143.96751</v>
      </c>
      <c r="N125" s="10">
        <v>95.579139999999995</v>
      </c>
      <c r="O125" s="10">
        <v>99.826970000000003</v>
      </c>
      <c r="Q125" s="10">
        <v>1161</v>
      </c>
      <c r="R125" s="10">
        <v>1088.4100000000001</v>
      </c>
      <c r="S125" s="10">
        <v>1094.78</v>
      </c>
    </row>
    <row r="126" spans="1:19" x14ac:dyDescent="0.2">
      <c r="A126" s="9" t="s">
        <v>252</v>
      </c>
      <c r="B126" s="9" t="s">
        <v>253</v>
      </c>
      <c r="C126" s="9">
        <v>11</v>
      </c>
      <c r="D126" s="9">
        <v>0</v>
      </c>
      <c r="E126" s="9">
        <v>32</v>
      </c>
      <c r="F126" s="9">
        <f t="shared" si="1"/>
        <v>43</v>
      </c>
      <c r="H126" s="10">
        <v>58.38</v>
      </c>
      <c r="I126" s="10">
        <v>0</v>
      </c>
      <c r="J126" s="10">
        <v>77.73</v>
      </c>
      <c r="K126" s="10">
        <v>73.180000000000007</v>
      </c>
      <c r="M126" s="10">
        <v>70.875</v>
      </c>
      <c r="N126" s="10">
        <v>103.86749</v>
      </c>
      <c r="O126" s="10">
        <v>96.104550000000003</v>
      </c>
      <c r="Q126" s="10">
        <v>1174.24</v>
      </c>
      <c r="R126" s="10">
        <v>1583.35</v>
      </c>
      <c r="S126" s="10">
        <v>1487.09</v>
      </c>
    </row>
    <row r="127" spans="1:19" x14ac:dyDescent="0.2">
      <c r="A127" s="9" t="s">
        <v>254</v>
      </c>
      <c r="B127" s="9" t="s">
        <v>255</v>
      </c>
      <c r="C127" s="9">
        <v>13</v>
      </c>
      <c r="D127" s="9">
        <v>0</v>
      </c>
      <c r="E127" s="9">
        <v>183</v>
      </c>
      <c r="F127" s="9">
        <f t="shared" si="1"/>
        <v>196</v>
      </c>
      <c r="H127" s="10">
        <v>99.67</v>
      </c>
      <c r="I127" s="10">
        <v>0</v>
      </c>
      <c r="J127" s="10">
        <v>79.290000000000006</v>
      </c>
      <c r="K127" s="10">
        <v>80.59</v>
      </c>
      <c r="M127" s="10">
        <v>206.89473000000001</v>
      </c>
      <c r="N127" s="10">
        <v>193.05611999999999</v>
      </c>
      <c r="O127" s="10">
        <v>193.9736</v>
      </c>
      <c r="Q127" s="10">
        <v>2287.1999999999998</v>
      </c>
      <c r="R127" s="10">
        <v>2407.46</v>
      </c>
      <c r="S127" s="10">
        <v>2399.4899999999998</v>
      </c>
    </row>
    <row r="128" spans="1:19" x14ac:dyDescent="0.2">
      <c r="A128" s="9" t="s">
        <v>256</v>
      </c>
      <c r="B128" s="9" t="s">
        <v>257</v>
      </c>
      <c r="C128" s="9">
        <v>4</v>
      </c>
      <c r="D128" s="9">
        <v>0</v>
      </c>
      <c r="E128" s="9">
        <v>14</v>
      </c>
      <c r="F128" s="9">
        <f t="shared" si="1"/>
        <v>18</v>
      </c>
      <c r="H128" s="10">
        <v>96.33</v>
      </c>
      <c r="I128" s="10">
        <v>0</v>
      </c>
      <c r="J128" s="10">
        <v>93.62</v>
      </c>
      <c r="K128" s="10">
        <v>94.13</v>
      </c>
      <c r="M128" s="10">
        <v>83.166669999999996</v>
      </c>
      <c r="N128" s="10">
        <v>130.36449999999999</v>
      </c>
      <c r="O128" s="10">
        <v>119.47269</v>
      </c>
      <c r="Q128" s="10">
        <v>881.49</v>
      </c>
      <c r="R128" s="10">
        <v>1493.69</v>
      </c>
      <c r="S128" s="10">
        <v>1352.41</v>
      </c>
    </row>
    <row r="129" spans="1:19" x14ac:dyDescent="0.2">
      <c r="A129" s="9" t="s">
        <v>258</v>
      </c>
      <c r="B129" s="9" t="s">
        <v>259</v>
      </c>
      <c r="C129" s="9">
        <v>9</v>
      </c>
      <c r="D129" s="9">
        <v>0</v>
      </c>
      <c r="E129" s="9">
        <v>63</v>
      </c>
      <c r="F129" s="9">
        <f t="shared" si="1"/>
        <v>72</v>
      </c>
      <c r="H129" s="10">
        <v>155.63</v>
      </c>
      <c r="I129" s="10">
        <v>0</v>
      </c>
      <c r="J129" s="10">
        <v>136</v>
      </c>
      <c r="K129" s="10">
        <v>138.53</v>
      </c>
      <c r="M129" s="10">
        <v>182.82986</v>
      </c>
      <c r="N129" s="10">
        <v>241.21645999999998</v>
      </c>
      <c r="O129" s="10">
        <v>233.68270999999999</v>
      </c>
      <c r="Q129" s="10">
        <v>1207.5</v>
      </c>
      <c r="R129" s="10">
        <v>1963.3</v>
      </c>
      <c r="S129" s="10">
        <v>1865.78</v>
      </c>
    </row>
    <row r="130" spans="1:19" x14ac:dyDescent="0.2">
      <c r="A130" s="9" t="s">
        <v>260</v>
      </c>
      <c r="B130" s="9" t="s">
        <v>261</v>
      </c>
      <c r="C130" s="9">
        <v>19</v>
      </c>
      <c r="D130" s="9">
        <v>0</v>
      </c>
      <c r="E130" s="9">
        <v>67</v>
      </c>
      <c r="F130" s="9">
        <f t="shared" si="1"/>
        <v>86</v>
      </c>
      <c r="H130" s="10">
        <v>119.89</v>
      </c>
      <c r="I130" s="10">
        <v>0</v>
      </c>
      <c r="J130" s="10">
        <v>97.83</v>
      </c>
      <c r="K130" s="10">
        <v>102.82</v>
      </c>
      <c r="M130" s="10">
        <v>103.07414999999999</v>
      </c>
      <c r="N130" s="10">
        <v>124.79452999999999</v>
      </c>
      <c r="O130" s="10">
        <v>119.76176</v>
      </c>
      <c r="Q130" s="10">
        <v>985.8</v>
      </c>
      <c r="R130" s="10">
        <v>1391.47</v>
      </c>
      <c r="S130" s="10">
        <v>1297.47</v>
      </c>
    </row>
    <row r="131" spans="1:19" x14ac:dyDescent="0.2">
      <c r="A131" s="9" t="s">
        <v>262</v>
      </c>
      <c r="B131" s="9" t="s">
        <v>263</v>
      </c>
      <c r="C131" s="9">
        <v>1</v>
      </c>
      <c r="D131" s="9">
        <v>0</v>
      </c>
      <c r="E131" s="9">
        <v>57</v>
      </c>
      <c r="F131" s="9">
        <f t="shared" si="1"/>
        <v>58</v>
      </c>
      <c r="H131" s="10">
        <v>0</v>
      </c>
      <c r="I131" s="10">
        <v>0</v>
      </c>
      <c r="J131" s="10">
        <v>81.19</v>
      </c>
      <c r="K131" s="10">
        <v>81.19</v>
      </c>
      <c r="M131" s="10">
        <v>0</v>
      </c>
      <c r="N131" s="10">
        <v>74.84281</v>
      </c>
      <c r="O131" s="10">
        <v>74.84281</v>
      </c>
      <c r="Q131" s="10">
        <v>0</v>
      </c>
      <c r="R131" s="10">
        <v>919.43</v>
      </c>
      <c r="S131" s="10">
        <v>919.43</v>
      </c>
    </row>
    <row r="132" spans="1:19" x14ac:dyDescent="0.2">
      <c r="A132" s="9" t="s">
        <v>264</v>
      </c>
      <c r="B132" s="9" t="s">
        <v>265</v>
      </c>
      <c r="C132" s="9">
        <v>0</v>
      </c>
      <c r="D132" s="9">
        <v>0</v>
      </c>
      <c r="E132" s="9">
        <v>25</v>
      </c>
      <c r="F132" s="9">
        <f t="shared" si="1"/>
        <v>25</v>
      </c>
      <c r="H132" s="10">
        <v>0</v>
      </c>
      <c r="I132" s="10">
        <v>0</v>
      </c>
      <c r="J132" s="10">
        <v>95.65</v>
      </c>
      <c r="K132" s="10">
        <v>95.65</v>
      </c>
      <c r="M132" s="10">
        <v>0</v>
      </c>
      <c r="N132" s="10">
        <v>79.168890000000005</v>
      </c>
      <c r="O132" s="10">
        <v>79.168890000000005</v>
      </c>
      <c r="Q132" s="10">
        <v>0</v>
      </c>
      <c r="R132" s="10">
        <v>787.01</v>
      </c>
      <c r="S132" s="10">
        <v>787.01</v>
      </c>
    </row>
    <row r="133" spans="1:19" x14ac:dyDescent="0.2">
      <c r="A133" s="9" t="s">
        <v>266</v>
      </c>
      <c r="B133" s="9" t="s">
        <v>267</v>
      </c>
      <c r="C133" s="9">
        <v>2</v>
      </c>
      <c r="D133" s="9">
        <v>0</v>
      </c>
      <c r="E133" s="9">
        <v>365</v>
      </c>
      <c r="F133" s="9">
        <f t="shared" si="1"/>
        <v>367</v>
      </c>
      <c r="H133" s="10">
        <v>68.5</v>
      </c>
      <c r="I133" s="10">
        <v>0</v>
      </c>
      <c r="J133" s="10">
        <v>68.900000000000006</v>
      </c>
      <c r="K133" s="10">
        <v>68.900000000000006</v>
      </c>
      <c r="M133" s="10">
        <v>0</v>
      </c>
      <c r="N133" s="10">
        <v>152.04964999999999</v>
      </c>
      <c r="O133" s="10">
        <v>152.15460999999999</v>
      </c>
      <c r="Q133" s="10">
        <v>0</v>
      </c>
      <c r="R133" s="10">
        <v>2266.9499999999998</v>
      </c>
      <c r="S133" s="10">
        <v>2268.27</v>
      </c>
    </row>
    <row r="134" spans="1:19" x14ac:dyDescent="0.2">
      <c r="A134" s="9" t="s">
        <v>268</v>
      </c>
      <c r="B134" s="9" t="s">
        <v>269</v>
      </c>
      <c r="C134" s="9">
        <v>76</v>
      </c>
      <c r="D134" s="9">
        <v>1</v>
      </c>
      <c r="E134" s="9">
        <v>386</v>
      </c>
      <c r="F134" s="9">
        <f t="shared" si="1"/>
        <v>463</v>
      </c>
      <c r="H134" s="10">
        <v>103.27</v>
      </c>
      <c r="I134" s="10">
        <v>0</v>
      </c>
      <c r="J134" s="10">
        <v>95.62</v>
      </c>
      <c r="K134" s="10">
        <v>96.87</v>
      </c>
      <c r="M134" s="10">
        <v>195.34519</v>
      </c>
      <c r="N134" s="10">
        <v>158.5284</v>
      </c>
      <c r="O134" s="10">
        <v>164.84239000000002</v>
      </c>
      <c r="Q134" s="10">
        <v>2074.65</v>
      </c>
      <c r="R134" s="10">
        <v>1785.99</v>
      </c>
      <c r="S134" s="10">
        <v>1835.49</v>
      </c>
    </row>
    <row r="135" spans="1:19" x14ac:dyDescent="0.2">
      <c r="A135" s="9" t="s">
        <v>270</v>
      </c>
      <c r="B135" s="9" t="s">
        <v>271</v>
      </c>
      <c r="C135" s="9">
        <v>203</v>
      </c>
      <c r="D135" s="9">
        <v>17</v>
      </c>
      <c r="E135" s="9">
        <v>899</v>
      </c>
      <c r="F135" s="9">
        <f t="shared" ref="F135:F198" si="2">SUM(C135:E135)</f>
        <v>1119</v>
      </c>
      <c r="H135" s="10">
        <v>94.41</v>
      </c>
      <c r="I135" s="10">
        <v>66.87</v>
      </c>
      <c r="J135" s="10">
        <v>92.02</v>
      </c>
      <c r="K135" s="10">
        <v>92.09</v>
      </c>
      <c r="M135" s="10">
        <v>192.26251000000002</v>
      </c>
      <c r="N135" s="10">
        <v>177.99826000000002</v>
      </c>
      <c r="O135" s="10">
        <v>180.90965</v>
      </c>
      <c r="Q135" s="10">
        <v>2058.02</v>
      </c>
      <c r="R135" s="10">
        <v>1988.24</v>
      </c>
      <c r="S135" s="10">
        <v>2002.48</v>
      </c>
    </row>
    <row r="136" spans="1:19" x14ac:dyDescent="0.2">
      <c r="A136" s="9" t="s">
        <v>272</v>
      </c>
      <c r="B136" s="9" t="s">
        <v>273</v>
      </c>
      <c r="C136" s="9">
        <v>5</v>
      </c>
      <c r="D136" s="9">
        <v>0</v>
      </c>
      <c r="E136" s="9">
        <v>18</v>
      </c>
      <c r="F136" s="9">
        <f t="shared" si="2"/>
        <v>23</v>
      </c>
      <c r="H136" s="10">
        <v>98.8</v>
      </c>
      <c r="I136" s="10">
        <v>0</v>
      </c>
      <c r="J136" s="10">
        <v>96.38</v>
      </c>
      <c r="K136" s="10">
        <v>96.96</v>
      </c>
      <c r="M136" s="10">
        <v>60.215120000000006</v>
      </c>
      <c r="N136" s="10">
        <v>79.590770000000006</v>
      </c>
      <c r="O136" s="10">
        <v>74.746859999999998</v>
      </c>
      <c r="Q136" s="10">
        <v>590.67999999999995</v>
      </c>
      <c r="R136" s="10">
        <v>838.83</v>
      </c>
      <c r="S136" s="10">
        <v>776.79</v>
      </c>
    </row>
    <row r="137" spans="1:19" x14ac:dyDescent="0.2">
      <c r="A137" s="9" t="s">
        <v>274</v>
      </c>
      <c r="B137" s="9" t="s">
        <v>275</v>
      </c>
      <c r="C137" s="9">
        <v>32</v>
      </c>
      <c r="D137" s="9">
        <v>0</v>
      </c>
      <c r="E137" s="9">
        <v>434</v>
      </c>
      <c r="F137" s="9">
        <f t="shared" si="2"/>
        <v>466</v>
      </c>
      <c r="H137" s="10">
        <v>67.91</v>
      </c>
      <c r="I137" s="10">
        <v>0</v>
      </c>
      <c r="J137" s="10">
        <v>57.29</v>
      </c>
      <c r="K137" s="10">
        <v>58.05</v>
      </c>
      <c r="M137" s="10">
        <v>111.66816</v>
      </c>
      <c r="N137" s="10">
        <v>101.70799000000001</v>
      </c>
      <c r="O137" s="10">
        <v>102.42261999999999</v>
      </c>
      <c r="Q137" s="10">
        <v>1720.16</v>
      </c>
      <c r="R137" s="10">
        <v>1821.43</v>
      </c>
      <c r="S137" s="10">
        <v>1814.16</v>
      </c>
    </row>
    <row r="138" spans="1:19" x14ac:dyDescent="0.2">
      <c r="A138" s="9" t="s">
        <v>276</v>
      </c>
      <c r="B138" s="9" t="s">
        <v>277</v>
      </c>
      <c r="C138" s="9">
        <v>12</v>
      </c>
      <c r="D138" s="9">
        <v>8</v>
      </c>
      <c r="E138" s="9">
        <v>144</v>
      </c>
      <c r="F138" s="9">
        <f t="shared" si="2"/>
        <v>164</v>
      </c>
      <c r="H138" s="10">
        <v>102.5</v>
      </c>
      <c r="I138" s="10">
        <v>70</v>
      </c>
      <c r="J138" s="10">
        <v>82.46</v>
      </c>
      <c r="K138" s="10">
        <v>83.54</v>
      </c>
      <c r="M138" s="10">
        <v>113.72727</v>
      </c>
      <c r="N138" s="10">
        <v>90.128289999999993</v>
      </c>
      <c r="O138" s="10">
        <v>92.385580000000004</v>
      </c>
      <c r="Q138" s="10">
        <v>1225.71</v>
      </c>
      <c r="R138" s="10">
        <v>1089.56</v>
      </c>
      <c r="S138" s="10">
        <v>1102.58</v>
      </c>
    </row>
    <row r="139" spans="1:19" x14ac:dyDescent="0.2">
      <c r="A139" s="9" t="s">
        <v>278</v>
      </c>
      <c r="B139" s="9" t="s">
        <v>279</v>
      </c>
      <c r="C139" s="9">
        <v>10</v>
      </c>
      <c r="D139" s="9">
        <v>0</v>
      </c>
      <c r="E139" s="9">
        <v>104</v>
      </c>
      <c r="F139" s="9">
        <f t="shared" si="2"/>
        <v>114</v>
      </c>
      <c r="H139" s="10">
        <v>77</v>
      </c>
      <c r="I139" s="10">
        <v>0</v>
      </c>
      <c r="J139" s="10">
        <v>76.48</v>
      </c>
      <c r="K139" s="10">
        <v>76.53</v>
      </c>
      <c r="M139" s="10">
        <v>232.08288000000002</v>
      </c>
      <c r="N139" s="10">
        <v>219.81691000000001</v>
      </c>
      <c r="O139" s="10">
        <v>222.04709</v>
      </c>
      <c r="Q139" s="10">
        <v>2989.71</v>
      </c>
      <c r="R139" s="10">
        <v>2555.71</v>
      </c>
      <c r="S139" s="10">
        <v>2634.62</v>
      </c>
    </row>
    <row r="140" spans="1:19" x14ac:dyDescent="0.2">
      <c r="A140" s="9" t="s">
        <v>280</v>
      </c>
      <c r="B140" s="9" t="s">
        <v>281</v>
      </c>
      <c r="C140" s="9">
        <v>0</v>
      </c>
      <c r="D140" s="9">
        <v>0</v>
      </c>
      <c r="E140" s="9">
        <v>111</v>
      </c>
      <c r="F140" s="9">
        <f t="shared" si="2"/>
        <v>111</v>
      </c>
      <c r="H140" s="10">
        <v>0</v>
      </c>
      <c r="I140" s="10">
        <v>0</v>
      </c>
      <c r="J140" s="10">
        <v>84.09</v>
      </c>
      <c r="K140" s="10">
        <v>84.09</v>
      </c>
      <c r="M140" s="10">
        <v>0</v>
      </c>
      <c r="N140" s="10">
        <v>156.66554000000002</v>
      </c>
      <c r="O140" s="10">
        <v>156.66554000000002</v>
      </c>
      <c r="Q140" s="10">
        <v>0</v>
      </c>
      <c r="R140" s="10">
        <v>1936.78</v>
      </c>
      <c r="S140" s="10">
        <v>1936.78</v>
      </c>
    </row>
    <row r="141" spans="1:19" x14ac:dyDescent="0.2">
      <c r="A141" s="9" t="s">
        <v>282</v>
      </c>
      <c r="B141" s="9" t="s">
        <v>283</v>
      </c>
      <c r="C141" s="9">
        <v>36</v>
      </c>
      <c r="D141" s="9">
        <v>0</v>
      </c>
      <c r="E141" s="9">
        <v>73</v>
      </c>
      <c r="F141" s="9">
        <f t="shared" si="2"/>
        <v>109</v>
      </c>
      <c r="H141" s="10">
        <v>104.56</v>
      </c>
      <c r="I141" s="10">
        <v>0</v>
      </c>
      <c r="J141" s="10">
        <v>116.12</v>
      </c>
      <c r="K141" s="10">
        <v>110.95</v>
      </c>
      <c r="M141" s="10">
        <v>279.57266999999996</v>
      </c>
      <c r="N141" s="10">
        <v>264.38544999999999</v>
      </c>
      <c r="O141" s="10">
        <v>271.17973000000001</v>
      </c>
      <c r="Q141" s="10">
        <v>3421.94</v>
      </c>
      <c r="R141" s="10">
        <v>2674.95</v>
      </c>
      <c r="S141" s="10">
        <v>3009.13</v>
      </c>
    </row>
    <row r="142" spans="1:19" x14ac:dyDescent="0.2">
      <c r="A142" s="9" t="s">
        <v>284</v>
      </c>
      <c r="B142" s="9" t="s">
        <v>285</v>
      </c>
      <c r="C142" s="9">
        <v>0</v>
      </c>
      <c r="D142" s="9">
        <v>0</v>
      </c>
      <c r="E142" s="9">
        <v>30</v>
      </c>
      <c r="F142" s="9">
        <f t="shared" si="2"/>
        <v>30</v>
      </c>
      <c r="H142" s="10">
        <v>0</v>
      </c>
      <c r="I142" s="10">
        <v>0</v>
      </c>
      <c r="J142" s="10">
        <v>146.38999999999999</v>
      </c>
      <c r="K142" s="10">
        <v>146.38999999999999</v>
      </c>
      <c r="M142" s="10">
        <v>0</v>
      </c>
      <c r="N142" s="10">
        <v>202.45659000000001</v>
      </c>
      <c r="O142" s="10">
        <v>202.45659000000001</v>
      </c>
      <c r="Q142" s="10">
        <v>0</v>
      </c>
      <c r="R142" s="10">
        <v>1540.84</v>
      </c>
      <c r="S142" s="10">
        <v>1540.84</v>
      </c>
    </row>
    <row r="143" spans="1:19" x14ac:dyDescent="0.2">
      <c r="A143" s="9" t="s">
        <v>286</v>
      </c>
      <c r="B143" s="9" t="s">
        <v>287</v>
      </c>
      <c r="C143" s="9">
        <v>42</v>
      </c>
      <c r="D143" s="9">
        <v>0</v>
      </c>
      <c r="E143" s="9">
        <v>205</v>
      </c>
      <c r="F143" s="9">
        <f t="shared" si="2"/>
        <v>247</v>
      </c>
      <c r="H143" s="10">
        <v>76.239999999999995</v>
      </c>
      <c r="I143" s="10">
        <v>0</v>
      </c>
      <c r="J143" s="10">
        <v>75.77</v>
      </c>
      <c r="K143" s="10">
        <v>75.84</v>
      </c>
      <c r="M143" s="10">
        <v>211.19931</v>
      </c>
      <c r="N143" s="10">
        <v>166.03244000000001</v>
      </c>
      <c r="O143" s="10">
        <v>173.07459</v>
      </c>
      <c r="Q143" s="10">
        <v>2771.5</v>
      </c>
      <c r="R143" s="10">
        <v>2248.23</v>
      </c>
      <c r="S143" s="10">
        <v>2329.8200000000002</v>
      </c>
    </row>
    <row r="144" spans="1:19" x14ac:dyDescent="0.2">
      <c r="A144" s="9" t="s">
        <v>288</v>
      </c>
      <c r="B144" s="9" t="s">
        <v>289</v>
      </c>
      <c r="C144" s="9">
        <v>0</v>
      </c>
      <c r="D144" s="9">
        <v>0</v>
      </c>
      <c r="E144" s="9">
        <v>118</v>
      </c>
      <c r="F144" s="9">
        <f t="shared" si="2"/>
        <v>118</v>
      </c>
      <c r="H144" s="10">
        <v>0</v>
      </c>
      <c r="I144" s="10">
        <v>0</v>
      </c>
      <c r="J144" s="10">
        <v>78.709999999999994</v>
      </c>
      <c r="K144" s="10">
        <v>78.709999999999994</v>
      </c>
      <c r="M144" s="10">
        <v>0</v>
      </c>
      <c r="N144" s="10">
        <v>69.96844999999999</v>
      </c>
      <c r="O144" s="10">
        <v>69.96844999999999</v>
      </c>
      <c r="Q144" s="10">
        <v>0</v>
      </c>
      <c r="R144" s="10">
        <v>899.89</v>
      </c>
      <c r="S144" s="10">
        <v>899.89</v>
      </c>
    </row>
    <row r="145" spans="1:19" x14ac:dyDescent="0.2">
      <c r="A145" s="9" t="s">
        <v>290</v>
      </c>
      <c r="B145" s="9" t="s">
        <v>291</v>
      </c>
      <c r="C145" s="9">
        <v>13</v>
      </c>
      <c r="D145" s="9">
        <v>0</v>
      </c>
      <c r="E145" s="9">
        <v>68</v>
      </c>
      <c r="F145" s="9">
        <f t="shared" si="2"/>
        <v>81</v>
      </c>
      <c r="H145" s="10">
        <v>115.73</v>
      </c>
      <c r="I145" s="10">
        <v>0</v>
      </c>
      <c r="J145" s="10">
        <v>116.52</v>
      </c>
      <c r="K145" s="10">
        <v>116.41</v>
      </c>
      <c r="M145" s="10">
        <v>169.13182</v>
      </c>
      <c r="N145" s="10">
        <v>135.66158999999999</v>
      </c>
      <c r="O145" s="10">
        <v>140.50596999999999</v>
      </c>
      <c r="Q145" s="10">
        <v>1499.39</v>
      </c>
      <c r="R145" s="10">
        <v>1319.52</v>
      </c>
      <c r="S145" s="10">
        <v>1345.55</v>
      </c>
    </row>
    <row r="146" spans="1:19" x14ac:dyDescent="0.2">
      <c r="A146" s="9" t="s">
        <v>292</v>
      </c>
      <c r="B146" s="9" t="s">
        <v>293</v>
      </c>
      <c r="C146" s="9">
        <v>245</v>
      </c>
      <c r="D146" s="9">
        <v>1</v>
      </c>
      <c r="E146" s="9">
        <v>438</v>
      </c>
      <c r="F146" s="9">
        <f t="shared" si="2"/>
        <v>684</v>
      </c>
      <c r="H146" s="10">
        <v>115.43</v>
      </c>
      <c r="I146" s="10">
        <v>110</v>
      </c>
      <c r="J146" s="10">
        <v>120.53</v>
      </c>
      <c r="K146" s="10">
        <v>118.38</v>
      </c>
      <c r="M146" s="10">
        <v>422.56311999999997</v>
      </c>
      <c r="N146" s="10">
        <v>413.58072999999996</v>
      </c>
      <c r="O146" s="10">
        <v>417.36189000000002</v>
      </c>
      <c r="Q146" s="10">
        <v>3885.66</v>
      </c>
      <c r="R146" s="10">
        <v>3726.82</v>
      </c>
      <c r="S146" s="10">
        <v>3793.68</v>
      </c>
    </row>
    <row r="147" spans="1:19" x14ac:dyDescent="0.2">
      <c r="A147" s="9" t="s">
        <v>294</v>
      </c>
      <c r="B147" s="9" t="s">
        <v>295</v>
      </c>
      <c r="C147" s="9">
        <v>0</v>
      </c>
      <c r="D147" s="9">
        <v>0</v>
      </c>
      <c r="E147" s="9">
        <v>48</v>
      </c>
      <c r="F147" s="9">
        <f t="shared" si="2"/>
        <v>48</v>
      </c>
      <c r="H147" s="10">
        <v>0</v>
      </c>
      <c r="I147" s="10">
        <v>0</v>
      </c>
      <c r="J147" s="10">
        <v>143.69</v>
      </c>
      <c r="K147" s="10">
        <v>143.69</v>
      </c>
      <c r="M147" s="10">
        <v>0</v>
      </c>
      <c r="N147" s="10">
        <v>207.30267000000001</v>
      </c>
      <c r="O147" s="10">
        <v>207.30267000000001</v>
      </c>
      <c r="Q147" s="10">
        <v>0</v>
      </c>
      <c r="R147" s="10">
        <v>1683.82</v>
      </c>
      <c r="S147" s="10">
        <v>1683.82</v>
      </c>
    </row>
    <row r="148" spans="1:19" x14ac:dyDescent="0.2">
      <c r="A148" s="9" t="s">
        <v>296</v>
      </c>
      <c r="B148" s="9" t="s">
        <v>297</v>
      </c>
      <c r="C148" s="9">
        <v>13</v>
      </c>
      <c r="D148" s="9">
        <v>0</v>
      </c>
      <c r="E148" s="9">
        <v>21</v>
      </c>
      <c r="F148" s="9">
        <f t="shared" si="2"/>
        <v>34</v>
      </c>
      <c r="H148" s="10">
        <v>74.69</v>
      </c>
      <c r="I148" s="10">
        <v>0</v>
      </c>
      <c r="J148" s="10">
        <v>141.55000000000001</v>
      </c>
      <c r="K148" s="10">
        <v>115.21</v>
      </c>
      <c r="M148" s="10">
        <v>93.269229999999993</v>
      </c>
      <c r="N148" s="10">
        <v>148.04008999999999</v>
      </c>
      <c r="O148" s="10">
        <v>126.46369</v>
      </c>
      <c r="Q148" s="10">
        <v>1300.21</v>
      </c>
      <c r="R148" s="10">
        <v>1157.46</v>
      </c>
      <c r="S148" s="10">
        <v>1213.69</v>
      </c>
    </row>
    <row r="149" spans="1:19" x14ac:dyDescent="0.2">
      <c r="A149" s="9" t="s">
        <v>298</v>
      </c>
      <c r="B149" s="9" t="s">
        <v>299</v>
      </c>
      <c r="C149" s="9">
        <v>3</v>
      </c>
      <c r="D149" s="9">
        <v>0</v>
      </c>
      <c r="E149" s="9">
        <v>172</v>
      </c>
      <c r="F149" s="9">
        <f t="shared" si="2"/>
        <v>175</v>
      </c>
      <c r="H149" s="10">
        <v>185.5</v>
      </c>
      <c r="I149" s="10">
        <v>0</v>
      </c>
      <c r="J149" s="10">
        <v>98.96</v>
      </c>
      <c r="K149" s="10">
        <v>100.06</v>
      </c>
      <c r="M149" s="10">
        <v>391.29490000000004</v>
      </c>
      <c r="N149" s="10">
        <v>188.78057999999999</v>
      </c>
      <c r="O149" s="10">
        <v>191.32792999999998</v>
      </c>
      <c r="Q149" s="10">
        <v>2167.77</v>
      </c>
      <c r="R149" s="10">
        <v>1972.57</v>
      </c>
      <c r="S149" s="10">
        <v>1975.03</v>
      </c>
    </row>
    <row r="150" spans="1:19" x14ac:dyDescent="0.2">
      <c r="A150" s="9" t="s">
        <v>300</v>
      </c>
      <c r="B150" s="9" t="s">
        <v>301</v>
      </c>
      <c r="C150" s="9">
        <v>154</v>
      </c>
      <c r="D150" s="9">
        <v>11</v>
      </c>
      <c r="E150" s="9">
        <v>148</v>
      </c>
      <c r="F150" s="9">
        <f t="shared" si="2"/>
        <v>313</v>
      </c>
      <c r="H150" s="10">
        <v>101.64</v>
      </c>
      <c r="I150" s="10">
        <v>90.18</v>
      </c>
      <c r="J150" s="10">
        <v>84.33</v>
      </c>
      <c r="K150" s="10">
        <v>93.17</v>
      </c>
      <c r="M150" s="10">
        <v>291.74610999999999</v>
      </c>
      <c r="N150" s="10">
        <v>219.64281</v>
      </c>
      <c r="O150" s="10">
        <v>257.47165000000001</v>
      </c>
      <c r="Q150" s="10">
        <v>2926.72</v>
      </c>
      <c r="R150" s="10">
        <v>2760.99</v>
      </c>
      <c r="S150" s="10">
        <v>2847.94</v>
      </c>
    </row>
    <row r="151" spans="1:19" x14ac:dyDescent="0.2">
      <c r="A151" s="9" t="s">
        <v>302</v>
      </c>
      <c r="B151" s="9" t="s">
        <v>303</v>
      </c>
      <c r="C151" s="9">
        <v>6</v>
      </c>
      <c r="D151" s="9">
        <v>0</v>
      </c>
      <c r="E151" s="9">
        <v>43</v>
      </c>
      <c r="F151" s="9">
        <f t="shared" si="2"/>
        <v>49</v>
      </c>
      <c r="H151" s="10">
        <v>166.4</v>
      </c>
      <c r="I151" s="10">
        <v>0</v>
      </c>
      <c r="J151" s="10">
        <v>188.98</v>
      </c>
      <c r="K151" s="10">
        <v>186.47</v>
      </c>
      <c r="M151" s="10">
        <v>228.4</v>
      </c>
      <c r="N151" s="10">
        <v>270.33938000000001</v>
      </c>
      <c r="O151" s="10">
        <v>265.67945000000003</v>
      </c>
      <c r="Q151" s="10">
        <v>1517.37</v>
      </c>
      <c r="R151" s="10">
        <v>1634.95</v>
      </c>
      <c r="S151" s="10">
        <v>1621.89</v>
      </c>
    </row>
    <row r="152" spans="1:19" x14ac:dyDescent="0.2">
      <c r="A152" s="9" t="s">
        <v>304</v>
      </c>
      <c r="B152" s="9" t="s">
        <v>305</v>
      </c>
      <c r="C152" s="9">
        <v>14</v>
      </c>
      <c r="D152" s="9">
        <v>6</v>
      </c>
      <c r="E152" s="9">
        <v>25</v>
      </c>
      <c r="F152" s="9">
        <f t="shared" si="2"/>
        <v>45</v>
      </c>
      <c r="H152" s="10">
        <v>101.15</v>
      </c>
      <c r="I152" s="10">
        <v>83.4</v>
      </c>
      <c r="J152" s="10">
        <v>125.32</v>
      </c>
      <c r="K152" s="10">
        <v>113.14</v>
      </c>
      <c r="M152" s="10">
        <v>133.75</v>
      </c>
      <c r="N152" s="10">
        <v>147.92726999999999</v>
      </c>
      <c r="O152" s="10">
        <v>142.92353</v>
      </c>
      <c r="Q152" s="10">
        <v>1342.94</v>
      </c>
      <c r="R152" s="10">
        <v>1248.01</v>
      </c>
      <c r="S152" s="10">
        <v>1281.51</v>
      </c>
    </row>
    <row r="153" spans="1:19" x14ac:dyDescent="0.2">
      <c r="A153" s="9" t="s">
        <v>306</v>
      </c>
      <c r="B153" s="9" t="s">
        <v>307</v>
      </c>
      <c r="C153" s="9">
        <v>2</v>
      </c>
      <c r="D153" s="9">
        <v>0</v>
      </c>
      <c r="E153" s="9">
        <v>14</v>
      </c>
      <c r="F153" s="9">
        <f t="shared" si="2"/>
        <v>16</v>
      </c>
      <c r="H153" s="10">
        <v>135</v>
      </c>
      <c r="I153" s="10">
        <v>0</v>
      </c>
      <c r="J153" s="10">
        <v>120</v>
      </c>
      <c r="K153" s="10">
        <v>122</v>
      </c>
      <c r="M153" s="10">
        <v>0</v>
      </c>
      <c r="N153" s="10">
        <v>117.15</v>
      </c>
      <c r="O153" s="10">
        <v>107.41428999999999</v>
      </c>
      <c r="Q153" s="10">
        <v>0</v>
      </c>
      <c r="R153" s="10">
        <v>957.62</v>
      </c>
      <c r="S153" s="10">
        <v>871.26</v>
      </c>
    </row>
    <row r="154" spans="1:19" x14ac:dyDescent="0.2">
      <c r="A154" s="9" t="s">
        <v>308</v>
      </c>
      <c r="B154" s="9" t="s">
        <v>309</v>
      </c>
      <c r="C154" s="9">
        <v>2</v>
      </c>
      <c r="D154" s="9">
        <v>0</v>
      </c>
      <c r="E154" s="9">
        <v>31</v>
      </c>
      <c r="F154" s="9">
        <f t="shared" si="2"/>
        <v>33</v>
      </c>
      <c r="H154" s="10">
        <v>171</v>
      </c>
      <c r="I154" s="10">
        <v>0</v>
      </c>
      <c r="J154" s="10">
        <v>86.23</v>
      </c>
      <c r="K154" s="10">
        <v>88.96</v>
      </c>
      <c r="M154" s="10">
        <v>0</v>
      </c>
      <c r="N154" s="10">
        <v>88.2</v>
      </c>
      <c r="O154" s="10">
        <v>89.748390000000001</v>
      </c>
      <c r="Q154" s="10">
        <v>0</v>
      </c>
      <c r="R154" s="10">
        <v>1042.23</v>
      </c>
      <c r="S154" s="10">
        <v>1034.3</v>
      </c>
    </row>
    <row r="155" spans="1:19" x14ac:dyDescent="0.2">
      <c r="A155" s="9" t="s">
        <v>310</v>
      </c>
      <c r="B155" s="9" t="s">
        <v>311</v>
      </c>
      <c r="C155" s="9">
        <v>38</v>
      </c>
      <c r="D155" s="9">
        <v>1</v>
      </c>
      <c r="E155" s="9">
        <v>98</v>
      </c>
      <c r="F155" s="9">
        <f t="shared" si="2"/>
        <v>137</v>
      </c>
      <c r="H155" s="10">
        <v>70.37</v>
      </c>
      <c r="I155" s="10">
        <v>0</v>
      </c>
      <c r="J155" s="10">
        <v>86.3</v>
      </c>
      <c r="K155" s="10">
        <v>81.3</v>
      </c>
      <c r="M155" s="10">
        <v>176.99328</v>
      </c>
      <c r="N155" s="10">
        <v>258.82413000000003</v>
      </c>
      <c r="O155" s="10">
        <v>232.91103000000001</v>
      </c>
      <c r="Q155" s="10">
        <v>2400.87</v>
      </c>
      <c r="R155" s="10">
        <v>3057.2</v>
      </c>
      <c r="S155" s="10">
        <v>2849.36</v>
      </c>
    </row>
    <row r="156" spans="1:19" x14ac:dyDescent="0.2">
      <c r="A156" s="9" t="s">
        <v>312</v>
      </c>
      <c r="B156" s="9" t="s">
        <v>313</v>
      </c>
      <c r="C156" s="9">
        <v>28</v>
      </c>
      <c r="D156" s="9">
        <v>1</v>
      </c>
      <c r="E156" s="9">
        <v>51</v>
      </c>
      <c r="F156" s="9">
        <f t="shared" si="2"/>
        <v>80</v>
      </c>
      <c r="H156" s="10">
        <v>107.32</v>
      </c>
      <c r="I156" s="10">
        <v>0</v>
      </c>
      <c r="J156" s="10">
        <v>125.4</v>
      </c>
      <c r="K156" s="10">
        <v>118.45</v>
      </c>
      <c r="M156" s="10">
        <v>492.70321000000001</v>
      </c>
      <c r="N156" s="10">
        <v>464.06389000000001</v>
      </c>
      <c r="O156" s="10">
        <v>475.80132000000003</v>
      </c>
      <c r="Q156" s="10">
        <v>4317.3900000000003</v>
      </c>
      <c r="R156" s="10">
        <v>3940.05</v>
      </c>
      <c r="S156" s="10">
        <v>4094.7</v>
      </c>
    </row>
    <row r="157" spans="1:19" x14ac:dyDescent="0.2">
      <c r="A157" s="9" t="s">
        <v>314</v>
      </c>
      <c r="B157" s="9" t="s">
        <v>315</v>
      </c>
      <c r="C157" s="9">
        <v>2</v>
      </c>
      <c r="D157" s="9">
        <v>0</v>
      </c>
      <c r="E157" s="9">
        <v>171</v>
      </c>
      <c r="F157" s="9">
        <f t="shared" si="2"/>
        <v>173</v>
      </c>
      <c r="H157" s="10">
        <v>80</v>
      </c>
      <c r="I157" s="10">
        <v>0</v>
      </c>
      <c r="J157" s="10">
        <v>104.54</v>
      </c>
      <c r="K157" s="10">
        <v>104.22</v>
      </c>
      <c r="M157" s="10">
        <v>0</v>
      </c>
      <c r="N157" s="10">
        <v>212.14654999999999</v>
      </c>
      <c r="O157" s="10">
        <v>210.64123000000001</v>
      </c>
      <c r="Q157" s="10">
        <v>0</v>
      </c>
      <c r="R157" s="10">
        <v>2138.38</v>
      </c>
      <c r="S157" s="10">
        <v>2127.33</v>
      </c>
    </row>
    <row r="158" spans="1:19" x14ac:dyDescent="0.2">
      <c r="A158" s="9" t="s">
        <v>316</v>
      </c>
      <c r="B158" s="9" t="s">
        <v>317</v>
      </c>
      <c r="C158" s="9">
        <v>11</v>
      </c>
      <c r="D158" s="9">
        <v>0</v>
      </c>
      <c r="E158" s="9">
        <v>29</v>
      </c>
      <c r="F158" s="9">
        <f t="shared" si="2"/>
        <v>40</v>
      </c>
      <c r="H158" s="10">
        <v>109.2</v>
      </c>
      <c r="I158" s="10">
        <v>0</v>
      </c>
      <c r="J158" s="10">
        <v>118.45</v>
      </c>
      <c r="K158" s="10">
        <v>116.08</v>
      </c>
      <c r="M158" s="10">
        <v>312.51959999999997</v>
      </c>
      <c r="N158" s="10">
        <v>268.43831</v>
      </c>
      <c r="O158" s="10">
        <v>279.74119999999999</v>
      </c>
      <c r="Q158" s="10">
        <v>2891.73</v>
      </c>
      <c r="R158" s="10">
        <v>2466.54</v>
      </c>
      <c r="S158" s="10">
        <v>2575.56</v>
      </c>
    </row>
    <row r="159" spans="1:19" x14ac:dyDescent="0.2">
      <c r="A159" s="9" t="s">
        <v>318</v>
      </c>
      <c r="B159" s="9" t="s">
        <v>319</v>
      </c>
      <c r="C159" s="9">
        <v>2</v>
      </c>
      <c r="D159" s="9">
        <v>0</v>
      </c>
      <c r="E159" s="9">
        <v>82</v>
      </c>
      <c r="F159" s="9">
        <f t="shared" si="2"/>
        <v>84</v>
      </c>
      <c r="H159" s="10">
        <v>75</v>
      </c>
      <c r="I159" s="10">
        <v>0</v>
      </c>
      <c r="J159" s="10">
        <v>134.44</v>
      </c>
      <c r="K159" s="10">
        <v>132.9</v>
      </c>
      <c r="M159" s="10">
        <v>0</v>
      </c>
      <c r="N159" s="10">
        <v>339.34750000000003</v>
      </c>
      <c r="O159" s="10">
        <v>335.40340999999995</v>
      </c>
      <c r="Q159" s="10">
        <v>0</v>
      </c>
      <c r="R159" s="10">
        <v>2797.6</v>
      </c>
      <c r="S159" s="10">
        <v>2789.87</v>
      </c>
    </row>
    <row r="160" spans="1:19" x14ac:dyDescent="0.2">
      <c r="A160" s="9" t="s">
        <v>320</v>
      </c>
      <c r="B160" s="9" t="s">
        <v>321</v>
      </c>
      <c r="C160" s="9">
        <v>8</v>
      </c>
      <c r="D160" s="9">
        <v>0</v>
      </c>
      <c r="E160" s="9">
        <v>27</v>
      </c>
      <c r="F160" s="9">
        <f t="shared" si="2"/>
        <v>35</v>
      </c>
      <c r="H160" s="10">
        <v>82.25</v>
      </c>
      <c r="I160" s="10">
        <v>0</v>
      </c>
      <c r="J160" s="10">
        <v>103.74</v>
      </c>
      <c r="K160" s="10">
        <v>98.19</v>
      </c>
      <c r="M160" s="10">
        <v>87.837620000000001</v>
      </c>
      <c r="N160" s="10">
        <v>159.67510000000001</v>
      </c>
      <c r="O160" s="10">
        <v>139.85785999999999</v>
      </c>
      <c r="Q160" s="10">
        <v>1069.58</v>
      </c>
      <c r="R160" s="10">
        <v>1649.64</v>
      </c>
      <c r="S160" s="10">
        <v>1489.62</v>
      </c>
    </row>
    <row r="161" spans="1:19" x14ac:dyDescent="0.2">
      <c r="A161" s="9" t="s">
        <v>322</v>
      </c>
      <c r="B161" s="9" t="s">
        <v>323</v>
      </c>
      <c r="C161" s="9">
        <v>14</v>
      </c>
      <c r="D161" s="9">
        <v>0</v>
      </c>
      <c r="E161" s="9">
        <v>57</v>
      </c>
      <c r="F161" s="9">
        <f t="shared" si="2"/>
        <v>71</v>
      </c>
      <c r="H161" s="10">
        <v>75.14</v>
      </c>
      <c r="I161" s="10">
        <v>0</v>
      </c>
      <c r="J161" s="10">
        <v>77.040000000000006</v>
      </c>
      <c r="K161" s="10">
        <v>76.62</v>
      </c>
      <c r="M161" s="10">
        <v>87.75</v>
      </c>
      <c r="N161" s="10">
        <v>95.757770000000008</v>
      </c>
      <c r="O161" s="10">
        <v>94.006070000000008</v>
      </c>
      <c r="Q161" s="10">
        <v>1164.76</v>
      </c>
      <c r="R161" s="10">
        <v>1294.44</v>
      </c>
      <c r="S161" s="10">
        <v>1266.07</v>
      </c>
    </row>
    <row r="162" spans="1:19" x14ac:dyDescent="0.2">
      <c r="A162" s="9" t="s">
        <v>324</v>
      </c>
      <c r="B162" s="9" t="s">
        <v>325</v>
      </c>
      <c r="C162" s="9">
        <v>6</v>
      </c>
      <c r="D162" s="9">
        <v>0</v>
      </c>
      <c r="E162" s="9">
        <v>32</v>
      </c>
      <c r="F162" s="9">
        <f t="shared" si="2"/>
        <v>38</v>
      </c>
      <c r="H162" s="10">
        <v>176</v>
      </c>
      <c r="I162" s="10">
        <v>0</v>
      </c>
      <c r="J162" s="10">
        <v>135.84</v>
      </c>
      <c r="K162" s="10">
        <v>137.38</v>
      </c>
      <c r="M162" s="10">
        <v>320</v>
      </c>
      <c r="N162" s="10">
        <v>297.83262000000002</v>
      </c>
      <c r="O162" s="10">
        <v>298.68521000000004</v>
      </c>
      <c r="Q162" s="10">
        <v>1818.18</v>
      </c>
      <c r="R162" s="10">
        <v>2379.21</v>
      </c>
      <c r="S162" s="10">
        <v>2357.63</v>
      </c>
    </row>
    <row r="163" spans="1:19" x14ac:dyDescent="0.2">
      <c r="A163" s="9" t="s">
        <v>326</v>
      </c>
      <c r="B163" s="9" t="s">
        <v>327</v>
      </c>
      <c r="C163" s="9">
        <v>28</v>
      </c>
      <c r="D163" s="9">
        <v>1</v>
      </c>
      <c r="E163" s="9">
        <v>75</v>
      </c>
      <c r="F163" s="9">
        <f t="shared" si="2"/>
        <v>104</v>
      </c>
      <c r="H163" s="10">
        <v>128.5</v>
      </c>
      <c r="I163" s="10">
        <v>81</v>
      </c>
      <c r="J163" s="10">
        <v>109.75</v>
      </c>
      <c r="K163" s="10">
        <v>114.21</v>
      </c>
      <c r="M163" s="10">
        <v>172.10585</v>
      </c>
      <c r="N163" s="10">
        <v>193.92389</v>
      </c>
      <c r="O163" s="10">
        <v>187.99799999999999</v>
      </c>
      <c r="Q163" s="10">
        <v>1445</v>
      </c>
      <c r="R163" s="10">
        <v>1917.9</v>
      </c>
      <c r="S163" s="10">
        <v>1789.46</v>
      </c>
    </row>
    <row r="164" spans="1:19" x14ac:dyDescent="0.2">
      <c r="A164" s="9" t="s">
        <v>328</v>
      </c>
      <c r="B164" s="9" t="s">
        <v>329</v>
      </c>
      <c r="C164" s="9">
        <v>0</v>
      </c>
      <c r="D164" s="9">
        <v>0</v>
      </c>
      <c r="E164" s="9">
        <v>20</v>
      </c>
      <c r="F164" s="9">
        <f t="shared" si="2"/>
        <v>20</v>
      </c>
      <c r="H164" s="10">
        <v>0</v>
      </c>
      <c r="I164" s="10">
        <v>0</v>
      </c>
      <c r="J164" s="10">
        <v>91.2</v>
      </c>
      <c r="K164" s="10">
        <v>91.2</v>
      </c>
      <c r="M164" s="10">
        <v>0</v>
      </c>
      <c r="N164" s="10">
        <v>198.15332999999998</v>
      </c>
      <c r="O164" s="10">
        <v>198.15332999999998</v>
      </c>
      <c r="Q164" s="10">
        <v>0</v>
      </c>
      <c r="R164" s="10">
        <v>2261.63</v>
      </c>
      <c r="S164" s="10">
        <v>2261.63</v>
      </c>
    </row>
    <row r="165" spans="1:19" x14ac:dyDescent="0.2">
      <c r="A165" s="9" t="s">
        <v>330</v>
      </c>
      <c r="B165" s="9" t="s">
        <v>331</v>
      </c>
      <c r="C165" s="9">
        <v>6</v>
      </c>
      <c r="D165" s="9">
        <v>0</v>
      </c>
      <c r="E165" s="9">
        <v>60</v>
      </c>
      <c r="F165" s="9">
        <f t="shared" si="2"/>
        <v>66</v>
      </c>
      <c r="H165" s="10">
        <v>67.400000000000006</v>
      </c>
      <c r="I165" s="10">
        <v>0</v>
      </c>
      <c r="J165" s="10">
        <v>103.39</v>
      </c>
      <c r="K165" s="10">
        <v>100.49</v>
      </c>
      <c r="M165" s="10">
        <v>67.599999999999994</v>
      </c>
      <c r="N165" s="10">
        <v>110.19288</v>
      </c>
      <c r="O165" s="10">
        <v>106.70166</v>
      </c>
      <c r="Q165" s="10">
        <v>1088.73</v>
      </c>
      <c r="R165" s="10">
        <v>1116.93</v>
      </c>
      <c r="S165" s="10">
        <v>1114.6199999999999</v>
      </c>
    </row>
    <row r="166" spans="1:19" x14ac:dyDescent="0.2">
      <c r="A166" s="9" t="s">
        <v>332</v>
      </c>
      <c r="B166" s="9" t="s">
        <v>333</v>
      </c>
      <c r="C166" s="9">
        <v>9</v>
      </c>
      <c r="D166" s="9">
        <v>0</v>
      </c>
      <c r="E166" s="9">
        <v>435</v>
      </c>
      <c r="F166" s="9">
        <f t="shared" si="2"/>
        <v>444</v>
      </c>
      <c r="H166" s="10">
        <v>68</v>
      </c>
      <c r="I166" s="10">
        <v>0</v>
      </c>
      <c r="J166" s="10">
        <v>65.73</v>
      </c>
      <c r="K166" s="10">
        <v>65.78</v>
      </c>
      <c r="M166" s="10">
        <v>157.72535999999999</v>
      </c>
      <c r="N166" s="10">
        <v>128.99137999999999</v>
      </c>
      <c r="O166" s="10">
        <v>129.61602999999999</v>
      </c>
      <c r="Q166" s="10">
        <v>2352.29</v>
      </c>
      <c r="R166" s="10">
        <v>1996.94</v>
      </c>
      <c r="S166" s="10">
        <v>2004.66</v>
      </c>
    </row>
    <row r="167" spans="1:19" x14ac:dyDescent="0.2">
      <c r="A167" s="9" t="s">
        <v>334</v>
      </c>
      <c r="B167" s="9" t="s">
        <v>335</v>
      </c>
      <c r="C167" s="9">
        <v>0</v>
      </c>
      <c r="D167" s="9">
        <v>0</v>
      </c>
      <c r="E167" s="9">
        <v>40</v>
      </c>
      <c r="F167" s="9">
        <f t="shared" si="2"/>
        <v>40</v>
      </c>
      <c r="H167" s="10">
        <v>0</v>
      </c>
      <c r="I167" s="10">
        <v>0</v>
      </c>
      <c r="J167" s="10">
        <v>139</v>
      </c>
      <c r="K167" s="10">
        <v>139</v>
      </c>
      <c r="M167" s="10">
        <v>0</v>
      </c>
      <c r="N167" s="10">
        <v>206.745</v>
      </c>
      <c r="O167" s="10">
        <v>206.745</v>
      </c>
      <c r="Q167" s="10">
        <v>0</v>
      </c>
      <c r="R167" s="10">
        <v>1485.52</v>
      </c>
      <c r="S167" s="10">
        <v>1485.52</v>
      </c>
    </row>
    <row r="168" spans="1:19" x14ac:dyDescent="0.2">
      <c r="A168" s="9" t="s">
        <v>336</v>
      </c>
      <c r="B168" s="9" t="s">
        <v>337</v>
      </c>
      <c r="C168" s="9">
        <v>8</v>
      </c>
      <c r="D168" s="9">
        <v>0</v>
      </c>
      <c r="E168" s="9">
        <v>45</v>
      </c>
      <c r="F168" s="9">
        <f t="shared" si="2"/>
        <v>53</v>
      </c>
      <c r="H168" s="10">
        <v>187</v>
      </c>
      <c r="I168" s="10">
        <v>0</v>
      </c>
      <c r="J168" s="10">
        <v>152.94999999999999</v>
      </c>
      <c r="K168" s="10">
        <v>158.29</v>
      </c>
      <c r="M168" s="10">
        <v>224.07512</v>
      </c>
      <c r="N168" s="10">
        <v>200.37635</v>
      </c>
      <c r="O168" s="10">
        <v>204.09379999999999</v>
      </c>
      <c r="Q168" s="10">
        <v>1242.01</v>
      </c>
      <c r="R168" s="10">
        <v>1462.61</v>
      </c>
      <c r="S168" s="10">
        <v>1428.01</v>
      </c>
    </row>
    <row r="169" spans="1:19" x14ac:dyDescent="0.2">
      <c r="A169" s="9" t="s">
        <v>338</v>
      </c>
      <c r="B169" s="9" t="s">
        <v>339</v>
      </c>
      <c r="C169" s="9">
        <v>8</v>
      </c>
      <c r="D169" s="9">
        <v>1</v>
      </c>
      <c r="E169" s="9">
        <v>41</v>
      </c>
      <c r="F169" s="9">
        <f t="shared" si="2"/>
        <v>50</v>
      </c>
      <c r="H169" s="10">
        <v>70.709999999999994</v>
      </c>
      <c r="I169" s="10">
        <v>83</v>
      </c>
      <c r="J169" s="10">
        <v>92.65</v>
      </c>
      <c r="K169" s="10">
        <v>88.76</v>
      </c>
      <c r="M169" s="10">
        <v>40.197330000000001</v>
      </c>
      <c r="N169" s="10">
        <v>75.961929999999995</v>
      </c>
      <c r="O169" s="10">
        <v>69.0077</v>
      </c>
      <c r="Q169" s="10">
        <v>572.33000000000004</v>
      </c>
      <c r="R169" s="10">
        <v>863.29</v>
      </c>
      <c r="S169" s="10">
        <v>806.71</v>
      </c>
    </row>
    <row r="170" spans="1:19" x14ac:dyDescent="0.2">
      <c r="A170" s="9" t="s">
        <v>340</v>
      </c>
      <c r="B170" s="9" t="s">
        <v>341</v>
      </c>
      <c r="C170" s="9">
        <v>5</v>
      </c>
      <c r="D170" s="9">
        <v>0</v>
      </c>
      <c r="E170" s="9">
        <v>19</v>
      </c>
      <c r="F170" s="9">
        <f t="shared" si="2"/>
        <v>24</v>
      </c>
      <c r="H170" s="10">
        <v>118</v>
      </c>
      <c r="I170" s="10">
        <v>0</v>
      </c>
      <c r="J170" s="10">
        <v>94.69</v>
      </c>
      <c r="K170" s="10">
        <v>100.24</v>
      </c>
      <c r="M170" s="10">
        <v>209</v>
      </c>
      <c r="N170" s="10">
        <v>107.875</v>
      </c>
      <c r="O170" s="10">
        <v>131.95238000000001</v>
      </c>
      <c r="Q170" s="10">
        <v>1755.6</v>
      </c>
      <c r="R170" s="10">
        <v>1156.68</v>
      </c>
      <c r="S170" s="10">
        <v>1299.28</v>
      </c>
    </row>
    <row r="171" spans="1:19" x14ac:dyDescent="0.2">
      <c r="A171" s="9" t="s">
        <v>342</v>
      </c>
      <c r="B171" s="9" t="s">
        <v>343</v>
      </c>
      <c r="C171" s="9">
        <v>14</v>
      </c>
      <c r="D171" s="9">
        <v>0</v>
      </c>
      <c r="E171" s="9">
        <v>41</v>
      </c>
      <c r="F171" s="9">
        <f t="shared" si="2"/>
        <v>55</v>
      </c>
      <c r="H171" s="10">
        <v>115</v>
      </c>
      <c r="I171" s="10">
        <v>0</v>
      </c>
      <c r="J171" s="10">
        <v>155.34</v>
      </c>
      <c r="K171" s="10">
        <v>145.66</v>
      </c>
      <c r="M171" s="10">
        <v>174.17942000000002</v>
      </c>
      <c r="N171" s="10">
        <v>185.85378</v>
      </c>
      <c r="O171" s="10">
        <v>182.99475000000001</v>
      </c>
      <c r="Q171" s="10">
        <v>1693.86</v>
      </c>
      <c r="R171" s="10">
        <v>1324.1</v>
      </c>
      <c r="S171" s="10">
        <v>1414.65</v>
      </c>
    </row>
    <row r="172" spans="1:19" x14ac:dyDescent="0.2">
      <c r="A172" s="9" t="s">
        <v>344</v>
      </c>
      <c r="B172" s="9" t="s">
        <v>345</v>
      </c>
      <c r="C172" s="9">
        <v>25</v>
      </c>
      <c r="D172" s="9">
        <v>3</v>
      </c>
      <c r="E172" s="9">
        <v>77</v>
      </c>
      <c r="F172" s="9">
        <f t="shared" si="2"/>
        <v>105</v>
      </c>
      <c r="H172" s="10">
        <v>79.14</v>
      </c>
      <c r="I172" s="10">
        <v>86</v>
      </c>
      <c r="J172" s="10">
        <v>108.57</v>
      </c>
      <c r="K172" s="10">
        <v>100.96</v>
      </c>
      <c r="M172" s="10">
        <v>153.75014000000002</v>
      </c>
      <c r="N172" s="10">
        <v>170.87691000000001</v>
      </c>
      <c r="O172" s="10">
        <v>166.39132999999998</v>
      </c>
      <c r="Q172" s="10">
        <v>1997.44</v>
      </c>
      <c r="R172" s="10">
        <v>1725.75</v>
      </c>
      <c r="S172" s="10">
        <v>1796.91</v>
      </c>
    </row>
    <row r="173" spans="1:19" x14ac:dyDescent="0.2">
      <c r="A173" s="9" t="s">
        <v>346</v>
      </c>
      <c r="B173" s="9" t="s">
        <v>347</v>
      </c>
      <c r="C173" s="9">
        <v>9</v>
      </c>
      <c r="D173" s="9">
        <v>1</v>
      </c>
      <c r="E173" s="9">
        <v>25</v>
      </c>
      <c r="F173" s="9">
        <f t="shared" si="2"/>
        <v>35</v>
      </c>
      <c r="H173" s="10">
        <v>112.13</v>
      </c>
      <c r="I173" s="10">
        <v>90</v>
      </c>
      <c r="J173" s="10">
        <v>80.8</v>
      </c>
      <c r="K173" s="10">
        <v>88.44</v>
      </c>
      <c r="M173" s="10">
        <v>101.745</v>
      </c>
      <c r="N173" s="10">
        <v>114.25432000000001</v>
      </c>
      <c r="O173" s="10">
        <v>111.22175999999999</v>
      </c>
      <c r="Q173" s="10">
        <v>947.1</v>
      </c>
      <c r="R173" s="10">
        <v>1563.23</v>
      </c>
      <c r="S173" s="10">
        <v>1413.87</v>
      </c>
    </row>
    <row r="174" spans="1:19" x14ac:dyDescent="0.2">
      <c r="A174" s="9" t="s">
        <v>348</v>
      </c>
      <c r="B174" s="9" t="s">
        <v>349</v>
      </c>
      <c r="C174" s="9">
        <v>6</v>
      </c>
      <c r="D174" s="9">
        <v>1</v>
      </c>
      <c r="E174" s="9">
        <v>19</v>
      </c>
      <c r="F174" s="9">
        <f t="shared" si="2"/>
        <v>26</v>
      </c>
      <c r="H174" s="10">
        <v>102.8</v>
      </c>
      <c r="I174" s="10">
        <v>110</v>
      </c>
      <c r="J174" s="10">
        <v>86.74</v>
      </c>
      <c r="K174" s="10">
        <v>90.88</v>
      </c>
      <c r="M174" s="10">
        <v>176.9</v>
      </c>
      <c r="N174" s="10">
        <v>134.05332999999999</v>
      </c>
      <c r="O174" s="10">
        <v>144.76499999999999</v>
      </c>
      <c r="Q174" s="10">
        <v>1703.79</v>
      </c>
      <c r="R174" s="10">
        <v>1498.02</v>
      </c>
      <c r="S174" s="10">
        <v>1549.46</v>
      </c>
    </row>
    <row r="175" spans="1:19" x14ac:dyDescent="0.2">
      <c r="A175" s="9" t="s">
        <v>350</v>
      </c>
      <c r="B175" s="9" t="s">
        <v>351</v>
      </c>
      <c r="C175" s="9">
        <v>0</v>
      </c>
      <c r="D175" s="9">
        <v>0</v>
      </c>
      <c r="E175" s="9">
        <v>19</v>
      </c>
      <c r="F175" s="9">
        <f t="shared" si="2"/>
        <v>19</v>
      </c>
      <c r="H175" s="10">
        <v>0</v>
      </c>
      <c r="I175" s="10">
        <v>0</v>
      </c>
      <c r="J175" s="10">
        <v>129.59</v>
      </c>
      <c r="K175" s="10">
        <v>129.59</v>
      </c>
      <c r="M175" s="10">
        <v>0</v>
      </c>
      <c r="N175" s="10">
        <v>152.41816</v>
      </c>
      <c r="O175" s="10">
        <v>152.41816</v>
      </c>
      <c r="Q175" s="10">
        <v>0</v>
      </c>
      <c r="R175" s="10">
        <v>1126.68</v>
      </c>
      <c r="S175" s="10">
        <v>1126.68</v>
      </c>
    </row>
    <row r="176" spans="1:19" x14ac:dyDescent="0.2">
      <c r="A176" s="9" t="s">
        <v>352</v>
      </c>
      <c r="B176" s="9" t="s">
        <v>353</v>
      </c>
      <c r="C176" s="9">
        <v>2</v>
      </c>
      <c r="D176" s="9">
        <v>0</v>
      </c>
      <c r="E176" s="9">
        <v>11</v>
      </c>
      <c r="F176" s="9">
        <f t="shared" si="2"/>
        <v>13</v>
      </c>
      <c r="H176" s="10">
        <v>65</v>
      </c>
      <c r="I176" s="10">
        <v>0</v>
      </c>
      <c r="J176" s="10">
        <v>134.13999999999999</v>
      </c>
      <c r="K176" s="10">
        <v>118.78</v>
      </c>
      <c r="M176" s="10">
        <v>0</v>
      </c>
      <c r="N176" s="10">
        <v>69.330490000000012</v>
      </c>
      <c r="O176" s="10">
        <v>62.968160000000005</v>
      </c>
      <c r="Q176" s="10">
        <v>0</v>
      </c>
      <c r="R176" s="10">
        <v>554.32000000000005</v>
      </c>
      <c r="S176" s="10">
        <v>547.05999999999995</v>
      </c>
    </row>
    <row r="177" spans="1:19" x14ac:dyDescent="0.2">
      <c r="A177" s="9" t="s">
        <v>354</v>
      </c>
      <c r="B177" s="9" t="s">
        <v>355</v>
      </c>
      <c r="C177" s="9">
        <v>5</v>
      </c>
      <c r="D177" s="9">
        <v>0</v>
      </c>
      <c r="E177" s="9">
        <v>36</v>
      </c>
      <c r="F177" s="9">
        <f t="shared" si="2"/>
        <v>41</v>
      </c>
      <c r="H177" s="10">
        <v>97.6</v>
      </c>
      <c r="I177" s="10">
        <v>0</v>
      </c>
      <c r="J177" s="10">
        <v>146.97</v>
      </c>
      <c r="K177" s="10">
        <v>139.91999999999999</v>
      </c>
      <c r="M177" s="10">
        <v>148.09129999999999</v>
      </c>
      <c r="N177" s="10">
        <v>204.81112999999999</v>
      </c>
      <c r="O177" s="10">
        <v>196.70829999999998</v>
      </c>
      <c r="Q177" s="10">
        <v>1622.63</v>
      </c>
      <c r="R177" s="10">
        <v>1585.7</v>
      </c>
      <c r="S177" s="10">
        <v>1590.98</v>
      </c>
    </row>
    <row r="178" spans="1:19" x14ac:dyDescent="0.2">
      <c r="A178" s="9" t="s">
        <v>356</v>
      </c>
      <c r="B178" s="9" t="s">
        <v>357</v>
      </c>
      <c r="C178" s="9">
        <v>6</v>
      </c>
      <c r="D178" s="9">
        <v>0</v>
      </c>
      <c r="E178" s="9">
        <v>42</v>
      </c>
      <c r="F178" s="9">
        <f t="shared" si="2"/>
        <v>48</v>
      </c>
      <c r="H178" s="10">
        <v>84</v>
      </c>
      <c r="I178" s="10">
        <v>0</v>
      </c>
      <c r="J178" s="10">
        <v>89.68</v>
      </c>
      <c r="K178" s="10">
        <v>88.95</v>
      </c>
      <c r="M178" s="10">
        <v>80.916669999999996</v>
      </c>
      <c r="N178" s="10">
        <v>104.29852000000001</v>
      </c>
      <c r="O178" s="10">
        <v>100.17231</v>
      </c>
      <c r="Q178" s="10">
        <v>1076.31</v>
      </c>
      <c r="R178" s="10">
        <v>1020.81</v>
      </c>
      <c r="S178" s="10">
        <v>1030.5999999999999</v>
      </c>
    </row>
    <row r="179" spans="1:19" x14ac:dyDescent="0.2">
      <c r="A179" s="9" t="s">
        <v>358</v>
      </c>
      <c r="B179" s="9" t="s">
        <v>359</v>
      </c>
      <c r="C179" s="9">
        <v>3</v>
      </c>
      <c r="D179" s="9">
        <v>0</v>
      </c>
      <c r="E179" s="9">
        <v>31</v>
      </c>
      <c r="F179" s="9">
        <f t="shared" si="2"/>
        <v>34</v>
      </c>
      <c r="H179" s="10">
        <v>161.66999999999999</v>
      </c>
      <c r="I179" s="10">
        <v>0</v>
      </c>
      <c r="J179" s="10">
        <v>115.77</v>
      </c>
      <c r="K179" s="10">
        <v>120.52</v>
      </c>
      <c r="M179" s="10">
        <v>129.66667000000001</v>
      </c>
      <c r="N179" s="10">
        <v>140.72036</v>
      </c>
      <c r="O179" s="10">
        <v>139.57686999999999</v>
      </c>
      <c r="Q179" s="10">
        <v>905.53</v>
      </c>
      <c r="R179" s="10">
        <v>1306.77</v>
      </c>
      <c r="S179" s="10">
        <v>1265.26</v>
      </c>
    </row>
    <row r="180" spans="1:19" x14ac:dyDescent="0.2">
      <c r="A180" s="9" t="s">
        <v>360</v>
      </c>
      <c r="B180" s="9" t="s">
        <v>361</v>
      </c>
      <c r="C180" s="9">
        <v>82</v>
      </c>
      <c r="D180" s="9">
        <v>0</v>
      </c>
      <c r="E180" s="9">
        <v>209</v>
      </c>
      <c r="F180" s="9">
        <f t="shared" si="2"/>
        <v>291</v>
      </c>
      <c r="H180" s="10">
        <v>107.43</v>
      </c>
      <c r="I180" s="10">
        <v>0</v>
      </c>
      <c r="J180" s="10">
        <v>90.32</v>
      </c>
      <c r="K180" s="10">
        <v>94.76</v>
      </c>
      <c r="M180" s="10">
        <v>482.10126000000002</v>
      </c>
      <c r="N180" s="10">
        <v>371.74662000000001</v>
      </c>
      <c r="O180" s="10">
        <v>400.62849999999997</v>
      </c>
      <c r="Q180" s="10">
        <v>4530.78</v>
      </c>
      <c r="R180" s="10">
        <v>4311.8999999999996</v>
      </c>
      <c r="S180" s="10">
        <v>4369.18</v>
      </c>
    </row>
    <row r="181" spans="1:19" x14ac:dyDescent="0.2">
      <c r="A181" s="9" t="s">
        <v>362</v>
      </c>
      <c r="B181" s="9" t="s">
        <v>363</v>
      </c>
      <c r="C181" s="9">
        <v>1</v>
      </c>
      <c r="D181" s="9">
        <v>0</v>
      </c>
      <c r="E181" s="9">
        <v>36</v>
      </c>
      <c r="F181" s="9">
        <f t="shared" si="2"/>
        <v>37</v>
      </c>
      <c r="H181" s="10">
        <v>123</v>
      </c>
      <c r="I181" s="10">
        <v>0</v>
      </c>
      <c r="J181" s="10">
        <v>132.74</v>
      </c>
      <c r="K181" s="10">
        <v>132.44</v>
      </c>
      <c r="M181" s="10">
        <v>0</v>
      </c>
      <c r="N181" s="10">
        <v>98.064850000000007</v>
      </c>
      <c r="O181" s="10">
        <v>99.95917</v>
      </c>
      <c r="Q181" s="10">
        <v>0</v>
      </c>
      <c r="R181" s="10">
        <v>759.38</v>
      </c>
      <c r="S181" s="10">
        <v>776.09</v>
      </c>
    </row>
    <row r="182" spans="1:19" x14ac:dyDescent="0.2">
      <c r="A182" s="9" t="s">
        <v>364</v>
      </c>
      <c r="B182" s="9" t="s">
        <v>365</v>
      </c>
      <c r="C182" s="9">
        <v>8</v>
      </c>
      <c r="D182" s="9">
        <v>0</v>
      </c>
      <c r="E182" s="9">
        <v>9</v>
      </c>
      <c r="F182" s="9">
        <f t="shared" si="2"/>
        <v>17</v>
      </c>
      <c r="H182" s="10">
        <v>72</v>
      </c>
      <c r="I182" s="10">
        <v>0</v>
      </c>
      <c r="J182" s="10">
        <v>93.33</v>
      </c>
      <c r="K182" s="10">
        <v>84</v>
      </c>
      <c r="M182" s="10">
        <v>53.590609999999998</v>
      </c>
      <c r="N182" s="10">
        <v>96.736270000000005</v>
      </c>
      <c r="O182" s="10">
        <v>76.60163</v>
      </c>
      <c r="Q182" s="10">
        <v>723.68</v>
      </c>
      <c r="R182" s="10">
        <v>1190.6400000000001</v>
      </c>
      <c r="S182" s="10">
        <v>972.73</v>
      </c>
    </row>
    <row r="183" spans="1:19" x14ac:dyDescent="0.2">
      <c r="A183" s="9" t="s">
        <v>366</v>
      </c>
      <c r="B183" s="9" t="s">
        <v>367</v>
      </c>
      <c r="C183" s="9">
        <v>7</v>
      </c>
      <c r="D183" s="9">
        <v>0</v>
      </c>
      <c r="E183" s="9">
        <v>14</v>
      </c>
      <c r="F183" s="9">
        <f t="shared" si="2"/>
        <v>21</v>
      </c>
      <c r="H183" s="10">
        <v>131.43</v>
      </c>
      <c r="I183" s="10">
        <v>0</v>
      </c>
      <c r="J183" s="10">
        <v>112.83</v>
      </c>
      <c r="K183" s="10">
        <v>119.68</v>
      </c>
      <c r="M183" s="10">
        <v>154.85715999999999</v>
      </c>
      <c r="N183" s="10">
        <v>216.5</v>
      </c>
      <c r="O183" s="10">
        <v>193.78948</v>
      </c>
      <c r="Q183" s="10">
        <v>1657.33</v>
      </c>
      <c r="R183" s="10">
        <v>1903.48</v>
      </c>
      <c r="S183" s="10">
        <v>1812.79</v>
      </c>
    </row>
    <row r="184" spans="1:19" x14ac:dyDescent="0.2">
      <c r="A184" s="9" t="s">
        <v>368</v>
      </c>
      <c r="B184" s="9" t="s">
        <v>369</v>
      </c>
      <c r="C184" s="9">
        <v>76</v>
      </c>
      <c r="D184" s="9">
        <v>1</v>
      </c>
      <c r="E184" s="9">
        <v>674</v>
      </c>
      <c r="F184" s="9">
        <f t="shared" si="2"/>
        <v>751</v>
      </c>
      <c r="H184" s="10">
        <v>93.81</v>
      </c>
      <c r="I184" s="10">
        <v>66</v>
      </c>
      <c r="J184" s="10">
        <v>83.69</v>
      </c>
      <c r="K184" s="10">
        <v>84.77</v>
      </c>
      <c r="M184" s="10">
        <v>147.03416000000001</v>
      </c>
      <c r="N184" s="10">
        <v>110.48349</v>
      </c>
      <c r="O184" s="10">
        <v>114.51481</v>
      </c>
      <c r="Q184" s="10">
        <v>1520.63</v>
      </c>
      <c r="R184" s="10">
        <v>1289.18</v>
      </c>
      <c r="S184" s="10">
        <v>1314.71</v>
      </c>
    </row>
    <row r="185" spans="1:19" x14ac:dyDescent="0.2">
      <c r="A185" s="9" t="s">
        <v>370</v>
      </c>
      <c r="B185" s="9" t="s">
        <v>371</v>
      </c>
      <c r="C185" s="9">
        <v>15</v>
      </c>
      <c r="D185" s="9">
        <v>1</v>
      </c>
      <c r="E185" s="9">
        <v>75</v>
      </c>
      <c r="F185" s="9">
        <f t="shared" si="2"/>
        <v>91</v>
      </c>
      <c r="H185" s="10">
        <v>101</v>
      </c>
      <c r="I185" s="10">
        <v>0</v>
      </c>
      <c r="J185" s="10">
        <v>95.05</v>
      </c>
      <c r="K185" s="10">
        <v>96.41</v>
      </c>
      <c r="M185" s="10">
        <v>89.580880000000008</v>
      </c>
      <c r="N185" s="10">
        <v>65.321330000000003</v>
      </c>
      <c r="O185" s="10">
        <v>71.757539999999992</v>
      </c>
      <c r="Q185" s="10">
        <v>919.48</v>
      </c>
      <c r="R185" s="10">
        <v>773.01</v>
      </c>
      <c r="S185" s="10">
        <v>811.87</v>
      </c>
    </row>
    <row r="186" spans="1:19" x14ac:dyDescent="0.2">
      <c r="A186" s="9" t="s">
        <v>372</v>
      </c>
      <c r="B186" s="9" t="s">
        <v>373</v>
      </c>
      <c r="C186" s="9">
        <v>17</v>
      </c>
      <c r="D186" s="9">
        <v>1</v>
      </c>
      <c r="E186" s="9">
        <v>31</v>
      </c>
      <c r="F186" s="9">
        <f t="shared" si="2"/>
        <v>49</v>
      </c>
      <c r="H186" s="10">
        <v>259.52999999999997</v>
      </c>
      <c r="I186" s="10">
        <v>71</v>
      </c>
      <c r="J186" s="10">
        <v>161.86000000000001</v>
      </c>
      <c r="K186" s="10">
        <v>193.09</v>
      </c>
      <c r="M186" s="10">
        <v>568.13353000000006</v>
      </c>
      <c r="N186" s="10">
        <v>381.96096</v>
      </c>
      <c r="O186" s="10">
        <v>446.90487999999999</v>
      </c>
      <c r="Q186" s="10">
        <v>2146.39</v>
      </c>
      <c r="R186" s="10">
        <v>2671.21</v>
      </c>
      <c r="S186" s="10">
        <v>2488.13</v>
      </c>
    </row>
    <row r="187" spans="1:19" x14ac:dyDescent="0.2">
      <c r="A187" s="9" t="s">
        <v>374</v>
      </c>
      <c r="B187" s="9" t="s">
        <v>375</v>
      </c>
      <c r="C187" s="9">
        <v>78</v>
      </c>
      <c r="D187" s="9">
        <v>1</v>
      </c>
      <c r="E187" s="9">
        <v>1287</v>
      </c>
      <c r="F187" s="9">
        <f t="shared" si="2"/>
        <v>1366</v>
      </c>
      <c r="H187" s="10">
        <v>82.09</v>
      </c>
      <c r="I187" s="10">
        <v>68</v>
      </c>
      <c r="J187" s="10">
        <v>87.91</v>
      </c>
      <c r="K187" s="10">
        <v>87.58</v>
      </c>
      <c r="M187" s="10">
        <v>174.31985999999998</v>
      </c>
      <c r="N187" s="10">
        <v>137.39932999999999</v>
      </c>
      <c r="O187" s="10">
        <v>139.41092999999998</v>
      </c>
      <c r="Q187" s="10">
        <v>2345.08</v>
      </c>
      <c r="R187" s="10">
        <v>1675.28</v>
      </c>
      <c r="S187" s="10">
        <v>1711.77</v>
      </c>
    </row>
    <row r="188" spans="1:19" x14ac:dyDescent="0.2">
      <c r="A188" s="9" t="s">
        <v>376</v>
      </c>
      <c r="B188" s="9" t="s">
        <v>377</v>
      </c>
      <c r="C188" s="9">
        <v>24</v>
      </c>
      <c r="D188" s="9">
        <v>0</v>
      </c>
      <c r="E188" s="9">
        <v>26</v>
      </c>
      <c r="F188" s="9">
        <f t="shared" si="2"/>
        <v>50</v>
      </c>
      <c r="H188" s="10">
        <v>101.79</v>
      </c>
      <c r="I188" s="10">
        <v>0</v>
      </c>
      <c r="J188" s="10">
        <v>200.17</v>
      </c>
      <c r="K188" s="10">
        <v>150.97999999999999</v>
      </c>
      <c r="M188" s="10">
        <v>344.65132</v>
      </c>
      <c r="N188" s="10">
        <v>479.74036999999998</v>
      </c>
      <c r="O188" s="10">
        <v>412.19584000000003</v>
      </c>
      <c r="Q188" s="10">
        <v>3558.51</v>
      </c>
      <c r="R188" s="10">
        <v>2543.37</v>
      </c>
      <c r="S188" s="10">
        <v>3050.94</v>
      </c>
    </row>
    <row r="189" spans="1:19" x14ac:dyDescent="0.2">
      <c r="A189" s="9" t="s">
        <v>378</v>
      </c>
      <c r="B189" s="9" t="s">
        <v>379</v>
      </c>
      <c r="C189" s="9">
        <v>18</v>
      </c>
      <c r="D189" s="9">
        <v>0</v>
      </c>
      <c r="E189" s="9">
        <v>28</v>
      </c>
      <c r="F189" s="9">
        <f t="shared" si="2"/>
        <v>46</v>
      </c>
      <c r="H189" s="10">
        <v>77.290000000000006</v>
      </c>
      <c r="I189" s="10">
        <v>0</v>
      </c>
      <c r="J189" s="10">
        <v>100.5</v>
      </c>
      <c r="K189" s="10">
        <v>92.38</v>
      </c>
      <c r="M189" s="10">
        <v>107.93514</v>
      </c>
      <c r="N189" s="10">
        <v>136.59642000000002</v>
      </c>
      <c r="O189" s="10">
        <v>126.56497</v>
      </c>
      <c r="Q189" s="10">
        <v>1450.07</v>
      </c>
      <c r="R189" s="10">
        <v>1595.43</v>
      </c>
      <c r="S189" s="10">
        <v>1544.55</v>
      </c>
    </row>
    <row r="190" spans="1:19" x14ac:dyDescent="0.2">
      <c r="A190" s="9" t="s">
        <v>380</v>
      </c>
      <c r="B190" s="9" t="s">
        <v>381</v>
      </c>
      <c r="C190" s="9">
        <v>27</v>
      </c>
      <c r="D190" s="9">
        <v>0</v>
      </c>
      <c r="E190" s="9">
        <v>93</v>
      </c>
      <c r="F190" s="9">
        <f t="shared" si="2"/>
        <v>120</v>
      </c>
      <c r="H190" s="10">
        <v>106.25</v>
      </c>
      <c r="I190" s="10">
        <v>0</v>
      </c>
      <c r="J190" s="10">
        <v>96.59</v>
      </c>
      <c r="K190" s="10">
        <v>98.41</v>
      </c>
      <c r="M190" s="10">
        <v>93.1721</v>
      </c>
      <c r="N190" s="10">
        <v>110.21101</v>
      </c>
      <c r="O190" s="10">
        <v>106.90248</v>
      </c>
      <c r="Q190" s="10">
        <v>1026</v>
      </c>
      <c r="R190" s="10">
        <v>1232.53</v>
      </c>
      <c r="S190" s="10">
        <v>1192.43</v>
      </c>
    </row>
    <row r="191" spans="1:19" x14ac:dyDescent="0.2">
      <c r="A191" s="9" t="s">
        <v>382</v>
      </c>
      <c r="B191" s="9" t="s">
        <v>383</v>
      </c>
      <c r="C191" s="9">
        <v>1</v>
      </c>
      <c r="D191" s="9">
        <v>0</v>
      </c>
      <c r="E191" s="9">
        <v>89</v>
      </c>
      <c r="F191" s="9">
        <f t="shared" si="2"/>
        <v>90</v>
      </c>
      <c r="H191" s="10">
        <v>196</v>
      </c>
      <c r="I191" s="10">
        <v>0</v>
      </c>
      <c r="J191" s="10">
        <v>109.16</v>
      </c>
      <c r="K191" s="10">
        <v>110.32</v>
      </c>
      <c r="M191" s="10">
        <v>0</v>
      </c>
      <c r="N191" s="10">
        <v>101.41553999999999</v>
      </c>
      <c r="O191" s="10">
        <v>103.39667</v>
      </c>
      <c r="Q191" s="10">
        <v>0</v>
      </c>
      <c r="R191" s="10">
        <v>1016.7</v>
      </c>
      <c r="S191" s="10">
        <v>1020.15</v>
      </c>
    </row>
    <row r="192" spans="1:19" x14ac:dyDescent="0.2">
      <c r="A192" s="9" t="s">
        <v>384</v>
      </c>
      <c r="B192" s="9" t="s">
        <v>385</v>
      </c>
      <c r="C192" s="9">
        <v>39</v>
      </c>
      <c r="D192" s="9">
        <v>2</v>
      </c>
      <c r="E192" s="9">
        <v>175</v>
      </c>
      <c r="F192" s="9">
        <f t="shared" si="2"/>
        <v>216</v>
      </c>
      <c r="H192" s="10">
        <v>94.33</v>
      </c>
      <c r="I192" s="10">
        <v>66.5</v>
      </c>
      <c r="J192" s="10">
        <v>88.92</v>
      </c>
      <c r="K192" s="10">
        <v>89.58</v>
      </c>
      <c r="M192" s="10">
        <v>136.00107999999997</v>
      </c>
      <c r="N192" s="10">
        <v>126.68227</v>
      </c>
      <c r="O192" s="10">
        <v>128.2593</v>
      </c>
      <c r="Q192" s="10">
        <v>1465.15</v>
      </c>
      <c r="R192" s="10">
        <v>1473.02</v>
      </c>
      <c r="S192" s="10">
        <v>1471.69</v>
      </c>
    </row>
    <row r="193" spans="1:19" x14ac:dyDescent="0.2">
      <c r="A193" s="9" t="s">
        <v>386</v>
      </c>
      <c r="B193" s="9" t="s">
        <v>387</v>
      </c>
      <c r="C193" s="9">
        <v>10</v>
      </c>
      <c r="D193" s="9">
        <v>0</v>
      </c>
      <c r="E193" s="9">
        <v>18</v>
      </c>
      <c r="F193" s="9">
        <f t="shared" si="2"/>
        <v>28</v>
      </c>
      <c r="H193" s="10">
        <v>111.44</v>
      </c>
      <c r="I193" s="10">
        <v>0</v>
      </c>
      <c r="J193" s="10">
        <v>152.63</v>
      </c>
      <c r="K193" s="10">
        <v>137.80000000000001</v>
      </c>
      <c r="M193" s="10">
        <v>171.55555999999999</v>
      </c>
      <c r="N193" s="10">
        <v>247.25</v>
      </c>
      <c r="O193" s="10">
        <v>220</v>
      </c>
      <c r="Q193" s="10">
        <v>1636.7</v>
      </c>
      <c r="R193" s="10">
        <v>1963.77</v>
      </c>
      <c r="S193" s="10">
        <v>1846.02</v>
      </c>
    </row>
    <row r="194" spans="1:19" x14ac:dyDescent="0.2">
      <c r="A194" s="9" t="s">
        <v>388</v>
      </c>
      <c r="B194" s="9" t="s">
        <v>389</v>
      </c>
      <c r="C194" s="9">
        <v>28</v>
      </c>
      <c r="D194" s="9">
        <v>0</v>
      </c>
      <c r="E194" s="9">
        <v>119</v>
      </c>
      <c r="F194" s="9">
        <f t="shared" si="2"/>
        <v>147</v>
      </c>
      <c r="H194" s="10">
        <v>100.08</v>
      </c>
      <c r="I194" s="10">
        <v>0</v>
      </c>
      <c r="J194" s="10">
        <v>94.03</v>
      </c>
      <c r="K194" s="10">
        <v>95.16</v>
      </c>
      <c r="M194" s="10">
        <v>139.29147</v>
      </c>
      <c r="N194" s="10">
        <v>134.89560999999998</v>
      </c>
      <c r="O194" s="10">
        <v>135.72382000000002</v>
      </c>
      <c r="Q194" s="10">
        <v>1532.03</v>
      </c>
      <c r="R194" s="10">
        <v>1665.39</v>
      </c>
      <c r="S194" s="10">
        <v>1640.26</v>
      </c>
    </row>
    <row r="195" spans="1:19" x14ac:dyDescent="0.2">
      <c r="A195" s="1" t="s">
        <v>390</v>
      </c>
      <c r="B195" s="1" t="s">
        <v>391</v>
      </c>
      <c r="C195" s="9">
        <v>5</v>
      </c>
      <c r="D195" s="9">
        <v>0</v>
      </c>
      <c r="E195" s="9">
        <v>134</v>
      </c>
      <c r="F195" s="9">
        <f t="shared" si="2"/>
        <v>139</v>
      </c>
      <c r="H195" s="10">
        <v>128</v>
      </c>
      <c r="I195" s="10">
        <v>0</v>
      </c>
      <c r="J195" s="10">
        <v>93.12</v>
      </c>
      <c r="K195" s="10">
        <v>94.81</v>
      </c>
      <c r="M195" s="10">
        <v>101.8</v>
      </c>
      <c r="N195" s="10">
        <v>64.328140000000005</v>
      </c>
      <c r="O195" s="10">
        <v>66.165000000000006</v>
      </c>
      <c r="Q195" s="10">
        <v>892.06</v>
      </c>
      <c r="R195" s="10">
        <v>681.44</v>
      </c>
      <c r="S195" s="10">
        <v>691.76</v>
      </c>
    </row>
    <row r="196" spans="1:19" x14ac:dyDescent="0.2">
      <c r="A196" s="1" t="s">
        <v>392</v>
      </c>
      <c r="B196" s="1" t="s">
        <v>393</v>
      </c>
      <c r="C196" s="9">
        <v>1</v>
      </c>
      <c r="D196" s="9">
        <v>0</v>
      </c>
      <c r="E196" s="9">
        <v>69</v>
      </c>
      <c r="F196" s="9">
        <f t="shared" si="2"/>
        <v>70</v>
      </c>
      <c r="H196" s="10">
        <v>78</v>
      </c>
      <c r="I196" s="10">
        <v>0</v>
      </c>
      <c r="J196" s="10">
        <v>85.1</v>
      </c>
      <c r="K196" s="10">
        <v>84.98</v>
      </c>
      <c r="M196" s="10">
        <v>0</v>
      </c>
      <c r="N196" s="10">
        <v>173.48328000000001</v>
      </c>
      <c r="O196" s="10">
        <v>173.06551999999999</v>
      </c>
      <c r="Q196" s="10">
        <v>0</v>
      </c>
      <c r="R196" s="10">
        <v>2287.85</v>
      </c>
      <c r="S196" s="10">
        <v>2281.4499999999998</v>
      </c>
    </row>
    <row r="197" spans="1:19" x14ac:dyDescent="0.2">
      <c r="A197" s="1" t="s">
        <v>394</v>
      </c>
      <c r="B197" s="1" t="s">
        <v>395</v>
      </c>
      <c r="C197" s="9">
        <v>0</v>
      </c>
      <c r="D197" s="9">
        <v>0</v>
      </c>
      <c r="E197" s="9">
        <v>32</v>
      </c>
      <c r="F197" s="9">
        <f t="shared" si="2"/>
        <v>32</v>
      </c>
      <c r="H197" s="10">
        <v>0</v>
      </c>
      <c r="I197" s="10">
        <v>0</v>
      </c>
      <c r="J197" s="10">
        <v>103.67</v>
      </c>
      <c r="K197" s="10">
        <v>103.67</v>
      </c>
      <c r="M197" s="10">
        <v>0</v>
      </c>
      <c r="N197" s="10">
        <v>57.357759999999999</v>
      </c>
      <c r="O197" s="10">
        <v>57.357759999999999</v>
      </c>
      <c r="Q197" s="10">
        <v>0</v>
      </c>
      <c r="R197" s="10">
        <v>562</v>
      </c>
      <c r="S197" s="10">
        <v>562</v>
      </c>
    </row>
    <row r="198" spans="1:19" x14ac:dyDescent="0.2">
      <c r="A198" s="1" t="s">
        <v>396</v>
      </c>
      <c r="B198" s="1" t="s">
        <v>397</v>
      </c>
      <c r="C198" s="9">
        <v>2</v>
      </c>
      <c r="D198" s="9">
        <v>0</v>
      </c>
      <c r="E198" s="9">
        <v>33</v>
      </c>
      <c r="F198" s="9">
        <f t="shared" si="2"/>
        <v>35</v>
      </c>
      <c r="H198" s="10">
        <v>80</v>
      </c>
      <c r="I198" s="10">
        <v>0</v>
      </c>
      <c r="J198" s="10">
        <v>92.64</v>
      </c>
      <c r="K198" s="10">
        <v>91.59</v>
      </c>
      <c r="M198" s="10">
        <v>0</v>
      </c>
      <c r="N198" s="10">
        <v>56.619010000000003</v>
      </c>
      <c r="O198" s="10">
        <v>54.915570000000002</v>
      </c>
      <c r="Q198" s="10">
        <v>0</v>
      </c>
      <c r="R198" s="10">
        <v>613.96</v>
      </c>
      <c r="S198" s="10">
        <v>604.45000000000005</v>
      </c>
    </row>
    <row r="199" spans="1:19" x14ac:dyDescent="0.2">
      <c r="A199" s="1" t="s">
        <v>398</v>
      </c>
      <c r="B199" s="1" t="s">
        <v>399</v>
      </c>
      <c r="C199" s="9">
        <v>0</v>
      </c>
      <c r="D199" s="9">
        <v>0</v>
      </c>
      <c r="E199" s="9">
        <v>47</v>
      </c>
      <c r="F199" s="9">
        <f t="shared" ref="F199:F217" si="3">SUM(C199:E199)</f>
        <v>47</v>
      </c>
      <c r="H199" s="10">
        <v>0</v>
      </c>
      <c r="I199" s="10">
        <v>0</v>
      </c>
      <c r="J199" s="10">
        <v>160.49</v>
      </c>
      <c r="K199" s="10">
        <v>160.49</v>
      </c>
      <c r="M199" s="10">
        <v>0</v>
      </c>
      <c r="N199" s="10">
        <v>253.22245999999998</v>
      </c>
      <c r="O199" s="10">
        <v>253.22245999999998</v>
      </c>
      <c r="Q199" s="10">
        <v>0</v>
      </c>
      <c r="R199" s="10">
        <v>1701.38</v>
      </c>
      <c r="S199" s="10">
        <v>1701.38</v>
      </c>
    </row>
    <row r="200" spans="1:19" x14ac:dyDescent="0.2">
      <c r="A200" s="1" t="s">
        <v>400</v>
      </c>
      <c r="B200" s="1" t="s">
        <v>401</v>
      </c>
      <c r="C200" s="9">
        <v>21</v>
      </c>
      <c r="D200" s="9">
        <v>3</v>
      </c>
      <c r="E200" s="9">
        <v>49</v>
      </c>
      <c r="F200" s="9">
        <f t="shared" si="3"/>
        <v>73</v>
      </c>
      <c r="H200" s="10">
        <v>162.82</v>
      </c>
      <c r="I200" s="10">
        <v>89</v>
      </c>
      <c r="J200" s="10">
        <v>124.94</v>
      </c>
      <c r="K200" s="10">
        <v>135.34</v>
      </c>
      <c r="M200" s="10">
        <v>210.75647000000001</v>
      </c>
      <c r="N200" s="10">
        <v>200.53647000000001</v>
      </c>
      <c r="O200" s="10">
        <v>203.87762000000001</v>
      </c>
      <c r="Q200" s="10">
        <v>1403.8</v>
      </c>
      <c r="R200" s="10">
        <v>1693.78</v>
      </c>
      <c r="S200" s="10">
        <v>1598.98</v>
      </c>
    </row>
    <row r="201" spans="1:19" x14ac:dyDescent="0.2">
      <c r="A201" s="1" t="s">
        <v>402</v>
      </c>
      <c r="B201" s="1" t="s">
        <v>403</v>
      </c>
      <c r="C201" s="9">
        <v>0</v>
      </c>
      <c r="D201" s="9">
        <v>0</v>
      </c>
      <c r="E201" s="9">
        <v>48</v>
      </c>
      <c r="F201" s="9">
        <f t="shared" si="3"/>
        <v>48</v>
      </c>
      <c r="H201" s="10">
        <v>0</v>
      </c>
      <c r="I201" s="10">
        <v>0</v>
      </c>
      <c r="J201" s="10">
        <v>95.09</v>
      </c>
      <c r="K201" s="10">
        <v>95.09</v>
      </c>
      <c r="M201" s="10">
        <v>0</v>
      </c>
      <c r="N201" s="10">
        <v>118.30037</v>
      </c>
      <c r="O201" s="10">
        <v>118.30037</v>
      </c>
      <c r="Q201" s="10">
        <v>0</v>
      </c>
      <c r="R201" s="10">
        <v>1210.42</v>
      </c>
      <c r="S201" s="10">
        <v>1210.42</v>
      </c>
    </row>
    <row r="202" spans="1:19" x14ac:dyDescent="0.2">
      <c r="A202" s="1" t="s">
        <v>404</v>
      </c>
      <c r="B202" s="1" t="s">
        <v>405</v>
      </c>
      <c r="C202" s="9">
        <v>4</v>
      </c>
      <c r="D202" s="9">
        <v>0</v>
      </c>
      <c r="E202" s="9">
        <v>20</v>
      </c>
      <c r="F202" s="9">
        <f t="shared" si="3"/>
        <v>24</v>
      </c>
      <c r="H202" s="10">
        <v>93.67</v>
      </c>
      <c r="I202" s="10">
        <v>0</v>
      </c>
      <c r="J202" s="10">
        <v>79.209999999999994</v>
      </c>
      <c r="K202" s="10">
        <v>81.180000000000007</v>
      </c>
      <c r="M202" s="10">
        <v>133.26906</v>
      </c>
      <c r="N202" s="10">
        <v>121.97557</v>
      </c>
      <c r="O202" s="10">
        <v>123.66959</v>
      </c>
      <c r="Q202" s="10">
        <v>1434.49</v>
      </c>
      <c r="R202" s="10">
        <v>1701.48</v>
      </c>
      <c r="S202" s="10">
        <v>1661.43</v>
      </c>
    </row>
    <row r="203" spans="1:19" x14ac:dyDescent="0.2">
      <c r="A203" s="1" t="s">
        <v>406</v>
      </c>
      <c r="B203" s="1" t="s">
        <v>407</v>
      </c>
      <c r="C203" s="9">
        <v>9</v>
      </c>
      <c r="D203" s="9">
        <v>0</v>
      </c>
      <c r="E203" s="9">
        <v>369</v>
      </c>
      <c r="F203" s="9">
        <f t="shared" si="3"/>
        <v>378</v>
      </c>
      <c r="H203" s="10">
        <v>107.86</v>
      </c>
      <c r="I203" s="10">
        <v>0</v>
      </c>
      <c r="J203" s="10">
        <v>97.73</v>
      </c>
      <c r="K203" s="10">
        <v>97.94</v>
      </c>
      <c r="M203" s="10">
        <v>109.28571000000001</v>
      </c>
      <c r="N203" s="10">
        <v>119.09567</v>
      </c>
      <c r="O203" s="10">
        <v>118.89007000000001</v>
      </c>
      <c r="Q203" s="10">
        <v>1139.3599999999999</v>
      </c>
      <c r="R203" s="10">
        <v>1327.78</v>
      </c>
      <c r="S203" s="10">
        <v>1323.83</v>
      </c>
    </row>
    <row r="204" spans="1:19" x14ac:dyDescent="0.2">
      <c r="A204" s="1" t="s">
        <v>408</v>
      </c>
      <c r="B204" s="1" t="s">
        <v>409</v>
      </c>
      <c r="C204" s="9">
        <v>59</v>
      </c>
      <c r="D204" s="9">
        <v>1</v>
      </c>
      <c r="E204" s="9">
        <v>211</v>
      </c>
      <c r="F204" s="9">
        <f t="shared" si="3"/>
        <v>271</v>
      </c>
      <c r="H204" s="10">
        <v>99.44</v>
      </c>
      <c r="I204" s="10">
        <v>85</v>
      </c>
      <c r="J204" s="10">
        <v>90.21</v>
      </c>
      <c r="K204" s="10">
        <v>92.28</v>
      </c>
      <c r="M204" s="10">
        <v>193.28839000000002</v>
      </c>
      <c r="N204" s="10">
        <v>129.68395000000001</v>
      </c>
      <c r="O204" s="10">
        <v>144.49943999999999</v>
      </c>
      <c r="Q204" s="10">
        <v>1964.31</v>
      </c>
      <c r="R204" s="10">
        <v>1471.16</v>
      </c>
      <c r="S204" s="10">
        <v>1586.03</v>
      </c>
    </row>
    <row r="205" spans="1:19" x14ac:dyDescent="0.2">
      <c r="A205" s="1" t="s">
        <v>410</v>
      </c>
      <c r="B205" s="1" t="s">
        <v>411</v>
      </c>
      <c r="C205" s="9">
        <v>11</v>
      </c>
      <c r="D205" s="9">
        <v>0</v>
      </c>
      <c r="E205" s="9">
        <v>45</v>
      </c>
      <c r="F205" s="9">
        <f t="shared" si="3"/>
        <v>56</v>
      </c>
      <c r="H205" s="10">
        <v>187.13</v>
      </c>
      <c r="I205" s="10">
        <v>0</v>
      </c>
      <c r="J205" s="10">
        <v>128.72</v>
      </c>
      <c r="K205" s="10">
        <v>139.34</v>
      </c>
      <c r="M205" s="10">
        <v>187.92822000000001</v>
      </c>
      <c r="N205" s="10">
        <v>147.53904999999997</v>
      </c>
      <c r="O205" s="10">
        <v>154.88254000000001</v>
      </c>
      <c r="Q205" s="10">
        <v>1131.94</v>
      </c>
      <c r="R205" s="10">
        <v>1271.3499999999999</v>
      </c>
      <c r="S205" s="10">
        <v>1246</v>
      </c>
    </row>
    <row r="206" spans="1:19" x14ac:dyDescent="0.2">
      <c r="A206" s="1" t="s">
        <v>412</v>
      </c>
      <c r="B206" s="1" t="s">
        <v>413</v>
      </c>
      <c r="C206" s="9">
        <v>4</v>
      </c>
      <c r="D206" s="9">
        <v>0</v>
      </c>
      <c r="E206" s="9">
        <v>79</v>
      </c>
      <c r="F206" s="9">
        <f t="shared" si="3"/>
        <v>83</v>
      </c>
      <c r="H206" s="10">
        <v>81</v>
      </c>
      <c r="I206" s="10">
        <v>0</v>
      </c>
      <c r="J206" s="10">
        <v>89.75</v>
      </c>
      <c r="K206" s="10">
        <v>89.2</v>
      </c>
      <c r="M206" s="10">
        <v>167.8</v>
      </c>
      <c r="N206" s="10">
        <v>154.78152</v>
      </c>
      <c r="O206" s="10">
        <v>155.62142</v>
      </c>
      <c r="Q206" s="10">
        <v>2072.2399999999998</v>
      </c>
      <c r="R206" s="10">
        <v>1777.96</v>
      </c>
      <c r="S206" s="10">
        <v>1796.95</v>
      </c>
    </row>
    <row r="207" spans="1:19" x14ac:dyDescent="0.2">
      <c r="A207" s="1" t="s">
        <v>414</v>
      </c>
      <c r="B207" s="1" t="s">
        <v>415</v>
      </c>
      <c r="C207" s="9">
        <v>88</v>
      </c>
      <c r="D207" s="9">
        <v>0</v>
      </c>
      <c r="E207" s="9">
        <v>346</v>
      </c>
      <c r="F207" s="9">
        <f t="shared" si="3"/>
        <v>434</v>
      </c>
      <c r="H207" s="10">
        <v>92.27</v>
      </c>
      <c r="I207" s="10">
        <v>0</v>
      </c>
      <c r="J207" s="10">
        <v>82.66</v>
      </c>
      <c r="K207" s="10">
        <v>84.65</v>
      </c>
      <c r="M207" s="10">
        <v>227.46114</v>
      </c>
      <c r="N207" s="10">
        <v>198.22560000000001</v>
      </c>
      <c r="O207" s="10">
        <v>204.30770000000001</v>
      </c>
      <c r="Q207" s="10">
        <v>2455.02</v>
      </c>
      <c r="R207" s="10">
        <v>2458.2399999999998</v>
      </c>
      <c r="S207" s="10">
        <v>2457.5700000000002</v>
      </c>
    </row>
    <row r="208" spans="1:19" x14ac:dyDescent="0.2">
      <c r="A208" s="1" t="s">
        <v>416</v>
      </c>
      <c r="B208" s="1" t="s">
        <v>417</v>
      </c>
      <c r="C208" s="9">
        <v>0</v>
      </c>
      <c r="D208" s="9">
        <v>0</v>
      </c>
      <c r="E208" s="9">
        <v>27</v>
      </c>
      <c r="F208" s="9">
        <f t="shared" si="3"/>
        <v>27</v>
      </c>
      <c r="H208" s="10">
        <v>0</v>
      </c>
      <c r="I208" s="10">
        <v>0</v>
      </c>
      <c r="J208" s="10">
        <v>159.79</v>
      </c>
      <c r="K208" s="10">
        <v>159.79</v>
      </c>
      <c r="M208" s="10">
        <v>0</v>
      </c>
      <c r="N208" s="10">
        <v>286.01767000000001</v>
      </c>
      <c r="O208" s="10">
        <v>286.01767000000001</v>
      </c>
      <c r="Q208" s="10">
        <v>0</v>
      </c>
      <c r="R208" s="10">
        <v>1858.29</v>
      </c>
      <c r="S208" s="10">
        <v>1858.29</v>
      </c>
    </row>
    <row r="209" spans="1:19" x14ac:dyDescent="0.2">
      <c r="A209" s="1" t="s">
        <v>418</v>
      </c>
      <c r="B209" s="1" t="s">
        <v>419</v>
      </c>
      <c r="C209" s="9">
        <v>11</v>
      </c>
      <c r="D209" s="9">
        <v>0</v>
      </c>
      <c r="E209" s="9">
        <v>13</v>
      </c>
      <c r="F209" s="9">
        <f t="shared" si="3"/>
        <v>24</v>
      </c>
      <c r="H209" s="10">
        <v>278.45</v>
      </c>
      <c r="I209" s="10">
        <v>0</v>
      </c>
      <c r="J209" s="10">
        <v>177</v>
      </c>
      <c r="K209" s="10">
        <v>223.5</v>
      </c>
      <c r="M209" s="10">
        <v>231.42214999999999</v>
      </c>
      <c r="N209" s="10">
        <v>188.3006</v>
      </c>
      <c r="O209" s="10">
        <v>208.06464000000003</v>
      </c>
      <c r="Q209" s="10">
        <v>914.18</v>
      </c>
      <c r="R209" s="10">
        <v>1082.8599999999999</v>
      </c>
      <c r="S209" s="10">
        <v>1005.55</v>
      </c>
    </row>
    <row r="210" spans="1:19" x14ac:dyDescent="0.2">
      <c r="A210" s="1" t="s">
        <v>420</v>
      </c>
      <c r="B210" s="1" t="s">
        <v>421</v>
      </c>
      <c r="C210" s="9">
        <v>38</v>
      </c>
      <c r="D210" s="9">
        <v>6</v>
      </c>
      <c r="E210" s="9">
        <v>111</v>
      </c>
      <c r="F210" s="9">
        <f t="shared" si="3"/>
        <v>155</v>
      </c>
      <c r="H210" s="10">
        <v>102.37</v>
      </c>
      <c r="I210" s="10">
        <v>88</v>
      </c>
      <c r="J210" s="10">
        <v>91.42</v>
      </c>
      <c r="K210" s="10">
        <v>94.31</v>
      </c>
      <c r="M210" s="10">
        <v>164.87911</v>
      </c>
      <c r="N210" s="10">
        <v>148.28667000000002</v>
      </c>
      <c r="O210" s="10">
        <v>153.91897</v>
      </c>
      <c r="Q210" s="10">
        <v>1674.97</v>
      </c>
      <c r="R210" s="10">
        <v>1601.16</v>
      </c>
      <c r="S210" s="10">
        <v>1626.21</v>
      </c>
    </row>
    <row r="211" spans="1:19" x14ac:dyDescent="0.2">
      <c r="A211" s="1" t="s">
        <v>422</v>
      </c>
      <c r="B211" s="1" t="s">
        <v>423</v>
      </c>
      <c r="C211" s="9">
        <v>10</v>
      </c>
      <c r="D211" s="9">
        <v>0</v>
      </c>
      <c r="E211" s="9">
        <v>50</v>
      </c>
      <c r="F211" s="9">
        <f t="shared" si="3"/>
        <v>60</v>
      </c>
      <c r="H211" s="10">
        <v>116.8</v>
      </c>
      <c r="I211" s="10">
        <v>0</v>
      </c>
      <c r="J211" s="10">
        <v>100.59</v>
      </c>
      <c r="K211" s="10">
        <v>103.48</v>
      </c>
      <c r="M211" s="10">
        <v>72.95</v>
      </c>
      <c r="N211" s="10">
        <v>95.945639999999997</v>
      </c>
      <c r="O211" s="10">
        <v>91.687190000000001</v>
      </c>
      <c r="Q211" s="10">
        <v>633.82000000000005</v>
      </c>
      <c r="R211" s="10">
        <v>972.98</v>
      </c>
      <c r="S211" s="10">
        <v>910.17</v>
      </c>
    </row>
    <row r="212" spans="1:19" x14ac:dyDescent="0.2">
      <c r="A212" s="1" t="s">
        <v>424</v>
      </c>
      <c r="B212" s="1" t="s">
        <v>425</v>
      </c>
      <c r="C212" s="9">
        <v>2</v>
      </c>
      <c r="D212" s="9">
        <v>0</v>
      </c>
      <c r="E212" s="9">
        <v>15</v>
      </c>
      <c r="F212" s="9">
        <f t="shared" si="3"/>
        <v>17</v>
      </c>
      <c r="H212" s="10">
        <v>0</v>
      </c>
      <c r="I212" s="10">
        <v>0</v>
      </c>
      <c r="J212" s="10">
        <v>195.85</v>
      </c>
      <c r="K212" s="10">
        <v>195.85</v>
      </c>
      <c r="M212" s="10">
        <v>0</v>
      </c>
      <c r="N212" s="10">
        <v>307.80768999999998</v>
      </c>
      <c r="O212" s="10">
        <v>307.80768999999998</v>
      </c>
      <c r="Q212" s="10">
        <v>0</v>
      </c>
      <c r="R212" s="10">
        <v>1743.54</v>
      </c>
      <c r="S212" s="10">
        <v>1743.54</v>
      </c>
    </row>
    <row r="213" spans="1:19" x14ac:dyDescent="0.2">
      <c r="A213" s="1" t="s">
        <v>426</v>
      </c>
      <c r="B213" s="1" t="s">
        <v>427</v>
      </c>
      <c r="C213" s="9">
        <v>18</v>
      </c>
      <c r="D213" s="9">
        <v>0</v>
      </c>
      <c r="E213" s="9">
        <v>453</v>
      </c>
      <c r="F213" s="9">
        <f t="shared" si="3"/>
        <v>471</v>
      </c>
      <c r="H213" s="10">
        <v>113.13</v>
      </c>
      <c r="I213" s="10">
        <v>0</v>
      </c>
      <c r="J213" s="10">
        <v>94.34</v>
      </c>
      <c r="K213" s="10">
        <v>95.06</v>
      </c>
      <c r="M213" s="10">
        <v>188.02635999999998</v>
      </c>
      <c r="N213" s="10">
        <v>188.12501</v>
      </c>
      <c r="O213" s="10">
        <v>188.12119000000001</v>
      </c>
      <c r="Q213" s="10">
        <v>1790.1</v>
      </c>
      <c r="R213" s="10">
        <v>2067.5300000000002</v>
      </c>
      <c r="S213" s="10">
        <v>2056.7800000000002</v>
      </c>
    </row>
    <row r="214" spans="1:19" x14ac:dyDescent="0.2">
      <c r="A214" s="1" t="s">
        <v>428</v>
      </c>
      <c r="B214" s="1" t="s">
        <v>429</v>
      </c>
      <c r="C214" s="9">
        <v>6</v>
      </c>
      <c r="D214" s="9">
        <v>0</v>
      </c>
      <c r="E214" s="9">
        <v>208</v>
      </c>
      <c r="F214" s="9">
        <f t="shared" si="3"/>
        <v>214</v>
      </c>
      <c r="H214" s="10">
        <v>103.83</v>
      </c>
      <c r="I214" s="10">
        <v>0</v>
      </c>
      <c r="J214" s="10">
        <v>69.41</v>
      </c>
      <c r="K214" s="10">
        <v>70.47</v>
      </c>
      <c r="M214" s="10">
        <v>152.32189000000002</v>
      </c>
      <c r="N214" s="10">
        <v>138.21348</v>
      </c>
      <c r="O214" s="10">
        <v>138.66858999999999</v>
      </c>
      <c r="Q214" s="10">
        <v>1399.8</v>
      </c>
      <c r="R214" s="10">
        <v>2146.75</v>
      </c>
      <c r="S214" s="10">
        <v>2122.65</v>
      </c>
    </row>
    <row r="215" spans="1:19" x14ac:dyDescent="0.2">
      <c r="A215" s="1" t="s">
        <v>430</v>
      </c>
      <c r="B215" s="1" t="s">
        <v>431</v>
      </c>
      <c r="C215" s="9">
        <v>1</v>
      </c>
      <c r="D215" s="9">
        <v>0</v>
      </c>
      <c r="E215" s="9">
        <v>54</v>
      </c>
      <c r="F215" s="9">
        <f t="shared" si="3"/>
        <v>55</v>
      </c>
      <c r="H215" s="10">
        <v>0</v>
      </c>
      <c r="I215" s="10">
        <v>0</v>
      </c>
      <c r="J215" s="10">
        <v>128.06</v>
      </c>
      <c r="K215" s="10">
        <v>128.06</v>
      </c>
      <c r="M215" s="10">
        <v>0</v>
      </c>
      <c r="N215" s="10">
        <v>232.88777999999999</v>
      </c>
      <c r="O215" s="10">
        <v>232.88777999999999</v>
      </c>
      <c r="Q215" s="10">
        <v>0</v>
      </c>
      <c r="R215" s="10">
        <v>2042.96</v>
      </c>
      <c r="S215" s="10">
        <v>2042.96</v>
      </c>
    </row>
    <row r="216" spans="1:19" x14ac:dyDescent="0.2">
      <c r="A216" s="1" t="s">
        <v>432</v>
      </c>
      <c r="B216" s="1" t="s">
        <v>433</v>
      </c>
      <c r="C216" s="9">
        <v>1</v>
      </c>
      <c r="D216" s="9">
        <v>0</v>
      </c>
      <c r="E216" s="9">
        <v>108</v>
      </c>
      <c r="F216" s="9">
        <f t="shared" si="3"/>
        <v>109</v>
      </c>
      <c r="H216" s="10">
        <v>91</v>
      </c>
      <c r="I216" s="10">
        <v>0</v>
      </c>
      <c r="J216" s="10">
        <v>108.79</v>
      </c>
      <c r="K216" s="10">
        <v>108.62</v>
      </c>
      <c r="M216" s="10">
        <v>0</v>
      </c>
      <c r="N216" s="10">
        <v>288.24029999999999</v>
      </c>
      <c r="O216" s="10">
        <v>287.69087000000002</v>
      </c>
      <c r="Q216" s="10">
        <v>0</v>
      </c>
      <c r="R216" s="10">
        <v>2799.39</v>
      </c>
      <c r="S216" s="10">
        <v>2796.82</v>
      </c>
    </row>
    <row r="217" spans="1:19" s="19" customFormat="1" x14ac:dyDescent="0.2">
      <c r="A217" s="15"/>
      <c r="B217" s="16" t="s">
        <v>11</v>
      </c>
      <c r="C217" s="15">
        <v>648</v>
      </c>
      <c r="D217" s="15">
        <v>14</v>
      </c>
      <c r="E217" s="15">
        <v>3070</v>
      </c>
      <c r="F217" s="20">
        <f t="shared" si="3"/>
        <v>3732</v>
      </c>
      <c r="G217" s="15"/>
      <c r="H217" s="18">
        <v>124.66</v>
      </c>
      <c r="I217" s="18">
        <v>95.83</v>
      </c>
      <c r="J217" s="18">
        <v>125.17</v>
      </c>
      <c r="K217" s="18">
        <v>124.98</v>
      </c>
      <c r="L217" s="15"/>
      <c r="M217" s="18">
        <v>157.62366</v>
      </c>
      <c r="N217" s="18">
        <v>168.29194000000001</v>
      </c>
      <c r="O217" s="18">
        <v>166.52776</v>
      </c>
      <c r="P217" s="15"/>
      <c r="Q217" s="18">
        <v>1326.23</v>
      </c>
      <c r="R217" s="18">
        <v>1465.88</v>
      </c>
      <c r="S217" s="18">
        <v>1442.78</v>
      </c>
    </row>
    <row r="219" spans="1:19" x14ac:dyDescent="0.2">
      <c r="B219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434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29</v>
      </c>
      <c r="F6" s="9">
        <v>29</v>
      </c>
      <c r="H6" s="10">
        <v>0</v>
      </c>
      <c r="I6" s="10">
        <v>0</v>
      </c>
      <c r="J6" s="10">
        <v>120.82</v>
      </c>
      <c r="K6" s="10">
        <v>120.82</v>
      </c>
      <c r="M6" s="10">
        <v>0</v>
      </c>
      <c r="N6" s="10">
        <v>202.12957999999998</v>
      </c>
      <c r="O6" s="10">
        <v>202.12957999999998</v>
      </c>
      <c r="Q6" s="10">
        <v>0</v>
      </c>
      <c r="R6" s="10">
        <v>1860.73</v>
      </c>
      <c r="S6" s="10">
        <v>1860.73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11</v>
      </c>
      <c r="F7" s="9">
        <v>11</v>
      </c>
      <c r="H7" s="10">
        <v>0</v>
      </c>
      <c r="I7" s="10">
        <v>0</v>
      </c>
      <c r="J7" s="10">
        <v>80.8</v>
      </c>
      <c r="K7" s="10">
        <v>80.8</v>
      </c>
      <c r="M7" s="10">
        <v>0</v>
      </c>
      <c r="N7" s="10">
        <v>60.412500000000001</v>
      </c>
      <c r="O7" s="10">
        <v>60.412500000000001</v>
      </c>
      <c r="Q7" s="10">
        <v>0</v>
      </c>
      <c r="R7" s="10">
        <v>752.97</v>
      </c>
      <c r="S7" s="10">
        <v>752.97</v>
      </c>
    </row>
    <row r="8" spans="1:19" x14ac:dyDescent="0.2">
      <c r="A8" s="9" t="s">
        <v>18</v>
      </c>
      <c r="B8" s="9" t="s">
        <v>19</v>
      </c>
      <c r="C8" s="9">
        <v>3</v>
      </c>
      <c r="D8" s="9">
        <v>0</v>
      </c>
      <c r="E8" s="9">
        <v>41</v>
      </c>
      <c r="F8" s="9">
        <v>44</v>
      </c>
      <c r="H8" s="10">
        <v>86.67</v>
      </c>
      <c r="I8" s="10">
        <v>0</v>
      </c>
      <c r="J8" s="10">
        <v>108.84</v>
      </c>
      <c r="K8" s="10">
        <v>106.88</v>
      </c>
      <c r="M8" s="10">
        <v>64.599999999999994</v>
      </c>
      <c r="N8" s="10">
        <v>85.585820000000012</v>
      </c>
      <c r="O8" s="10">
        <v>83.734130000000007</v>
      </c>
      <c r="Q8" s="10">
        <v>873.76</v>
      </c>
      <c r="R8" s="10">
        <v>940.86</v>
      </c>
      <c r="S8" s="10">
        <v>934.94</v>
      </c>
    </row>
    <row r="9" spans="1:19" x14ac:dyDescent="0.2">
      <c r="A9" s="9" t="s">
        <v>20</v>
      </c>
      <c r="B9" s="9" t="s">
        <v>21</v>
      </c>
      <c r="C9" s="9">
        <v>6</v>
      </c>
      <c r="D9" s="9">
        <v>0</v>
      </c>
      <c r="E9" s="9">
        <v>24</v>
      </c>
      <c r="F9" s="9">
        <v>30</v>
      </c>
      <c r="H9" s="10">
        <v>67</v>
      </c>
      <c r="I9" s="10">
        <v>0</v>
      </c>
      <c r="J9" s="10">
        <v>80.05</v>
      </c>
      <c r="K9" s="10">
        <v>77.540000000000006</v>
      </c>
      <c r="M9" s="10">
        <v>41.46</v>
      </c>
      <c r="N9" s="10">
        <v>51.046050000000001</v>
      </c>
      <c r="O9" s="10">
        <v>49.202580000000005</v>
      </c>
      <c r="Q9" s="10">
        <v>624.36</v>
      </c>
      <c r="R9" s="10">
        <v>621.1</v>
      </c>
      <c r="S9" s="10">
        <v>621.73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6</v>
      </c>
      <c r="F10" s="9">
        <v>7</v>
      </c>
      <c r="H10" s="10">
        <v>0</v>
      </c>
      <c r="I10" s="10">
        <v>0</v>
      </c>
      <c r="J10" s="10">
        <v>97.67</v>
      </c>
      <c r="K10" s="10">
        <v>97.67</v>
      </c>
      <c r="M10" s="10">
        <v>0</v>
      </c>
      <c r="N10" s="10">
        <v>91.583330000000004</v>
      </c>
      <c r="O10" s="10">
        <v>91.583330000000004</v>
      </c>
      <c r="Q10" s="10">
        <v>0</v>
      </c>
      <c r="R10" s="10">
        <v>936.05</v>
      </c>
      <c r="S10" s="10">
        <v>936.05</v>
      </c>
    </row>
    <row r="11" spans="1:19" x14ac:dyDescent="0.2">
      <c r="A11" s="9" t="s">
        <v>24</v>
      </c>
      <c r="B11" s="9" t="s">
        <v>25</v>
      </c>
      <c r="C11" s="9">
        <v>5</v>
      </c>
      <c r="D11" s="9">
        <v>0</v>
      </c>
      <c r="E11" s="9">
        <v>19</v>
      </c>
      <c r="F11" s="9">
        <v>24</v>
      </c>
      <c r="H11" s="10">
        <v>123.4</v>
      </c>
      <c r="I11" s="10">
        <v>0</v>
      </c>
      <c r="J11" s="10">
        <v>180.94</v>
      </c>
      <c r="K11" s="10">
        <v>167.24</v>
      </c>
      <c r="M11" s="10">
        <v>389.7602</v>
      </c>
      <c r="N11" s="10">
        <v>411.16027000000003</v>
      </c>
      <c r="O11" s="10">
        <v>406.06502</v>
      </c>
      <c r="Q11" s="10">
        <v>3185.87</v>
      </c>
      <c r="R11" s="10">
        <v>3078.62</v>
      </c>
      <c r="S11" s="10">
        <v>3104.16</v>
      </c>
    </row>
    <row r="12" spans="1:19" x14ac:dyDescent="0.2">
      <c r="A12" s="9" t="s">
        <v>26</v>
      </c>
      <c r="B12" s="9" t="s">
        <v>27</v>
      </c>
      <c r="C12" s="9">
        <v>6</v>
      </c>
      <c r="D12" s="9">
        <v>1</v>
      </c>
      <c r="E12" s="9">
        <v>6</v>
      </c>
      <c r="F12" s="9">
        <v>13</v>
      </c>
      <c r="H12" s="10">
        <v>263.5</v>
      </c>
      <c r="I12" s="10">
        <v>90</v>
      </c>
      <c r="J12" s="10">
        <v>69</v>
      </c>
      <c r="K12" s="10">
        <v>183.14</v>
      </c>
      <c r="M12" s="10">
        <v>113.5</v>
      </c>
      <c r="N12" s="10">
        <v>68.5</v>
      </c>
      <c r="O12" s="10">
        <v>98.5</v>
      </c>
      <c r="Q12" s="10">
        <v>425.26</v>
      </c>
      <c r="R12" s="10">
        <v>972.83</v>
      </c>
      <c r="S12" s="10">
        <v>607.78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0</v>
      </c>
      <c r="E13" s="9">
        <v>13</v>
      </c>
      <c r="F13" s="9">
        <v>17</v>
      </c>
      <c r="H13" s="10">
        <v>255</v>
      </c>
      <c r="I13" s="10">
        <v>0</v>
      </c>
      <c r="J13" s="10">
        <v>144.82</v>
      </c>
      <c r="K13" s="10">
        <v>168.43</v>
      </c>
      <c r="M13" s="10">
        <v>103.429</v>
      </c>
      <c r="N13" s="10">
        <v>168.77273000000002</v>
      </c>
      <c r="O13" s="10">
        <v>154.7705</v>
      </c>
      <c r="Q13" s="10">
        <v>405.6</v>
      </c>
      <c r="R13" s="10">
        <v>1259.26</v>
      </c>
      <c r="S13" s="10">
        <v>1076.33</v>
      </c>
    </row>
    <row r="14" spans="1:19" x14ac:dyDescent="0.2">
      <c r="A14" s="9" t="s">
        <v>30</v>
      </c>
      <c r="B14" s="9" t="s">
        <v>31</v>
      </c>
      <c r="C14" s="9">
        <v>24</v>
      </c>
      <c r="D14" s="9">
        <v>0</v>
      </c>
      <c r="E14" s="9">
        <v>23</v>
      </c>
      <c r="F14" s="9">
        <v>47</v>
      </c>
      <c r="H14" s="10">
        <v>123.52</v>
      </c>
      <c r="I14" s="10">
        <v>0</v>
      </c>
      <c r="J14" s="10">
        <v>121.24</v>
      </c>
      <c r="K14" s="10">
        <v>122.38</v>
      </c>
      <c r="M14" s="10">
        <v>157.09689</v>
      </c>
      <c r="N14" s="10">
        <v>211.07142999999999</v>
      </c>
      <c r="O14" s="10">
        <v>184.08416</v>
      </c>
      <c r="Q14" s="10">
        <v>1417.32</v>
      </c>
      <c r="R14" s="10">
        <v>1893.61</v>
      </c>
      <c r="S14" s="10">
        <v>1655.46</v>
      </c>
    </row>
    <row r="15" spans="1:19" x14ac:dyDescent="0.2">
      <c r="A15" s="9" t="s">
        <v>32</v>
      </c>
      <c r="B15" s="9" t="s">
        <v>33</v>
      </c>
      <c r="C15" s="9">
        <v>0</v>
      </c>
      <c r="D15" s="9">
        <v>0</v>
      </c>
      <c r="E15" s="9">
        <v>32</v>
      </c>
      <c r="F15" s="9">
        <v>32</v>
      </c>
      <c r="H15" s="10">
        <v>0</v>
      </c>
      <c r="I15" s="10">
        <v>0</v>
      </c>
      <c r="J15" s="10">
        <v>98.07</v>
      </c>
      <c r="K15" s="10">
        <v>98.07</v>
      </c>
      <c r="M15" s="10">
        <v>0</v>
      </c>
      <c r="N15" s="10">
        <v>150.80995000000001</v>
      </c>
      <c r="O15" s="10">
        <v>150.80995000000001</v>
      </c>
      <c r="Q15" s="10">
        <v>0</v>
      </c>
      <c r="R15" s="10">
        <v>1766.4</v>
      </c>
      <c r="S15" s="10">
        <v>1766.4</v>
      </c>
    </row>
    <row r="16" spans="1:19" x14ac:dyDescent="0.2">
      <c r="A16" s="9" t="s">
        <v>34</v>
      </c>
      <c r="B16" s="9" t="s">
        <v>35</v>
      </c>
      <c r="C16" s="9">
        <v>4</v>
      </c>
      <c r="D16" s="9">
        <v>0</v>
      </c>
      <c r="E16" s="9">
        <v>14</v>
      </c>
      <c r="F16" s="9">
        <v>18</v>
      </c>
      <c r="H16" s="10">
        <v>314.5</v>
      </c>
      <c r="I16" s="10">
        <v>0</v>
      </c>
      <c r="J16" s="10">
        <v>236.15</v>
      </c>
      <c r="K16" s="10">
        <v>246.6</v>
      </c>
      <c r="M16" s="10">
        <v>327.5</v>
      </c>
      <c r="N16" s="10">
        <v>304.17341999999996</v>
      </c>
      <c r="O16" s="10">
        <v>307.28363000000002</v>
      </c>
      <c r="Q16" s="10">
        <v>1160.4000000000001</v>
      </c>
      <c r="R16" s="10">
        <v>1371.95</v>
      </c>
      <c r="S16" s="10">
        <v>1343.74</v>
      </c>
    </row>
    <row r="17" spans="1:19" x14ac:dyDescent="0.2">
      <c r="A17" s="9" t="s">
        <v>36</v>
      </c>
      <c r="B17" s="9" t="s">
        <v>37</v>
      </c>
      <c r="C17" s="9">
        <v>2</v>
      </c>
      <c r="D17" s="9">
        <v>0</v>
      </c>
      <c r="E17" s="9">
        <v>58</v>
      </c>
      <c r="F17" s="9">
        <v>60</v>
      </c>
      <c r="H17" s="10">
        <v>113</v>
      </c>
      <c r="I17" s="10">
        <v>0</v>
      </c>
      <c r="J17" s="10">
        <v>100.93</v>
      </c>
      <c r="K17" s="10">
        <v>101.45</v>
      </c>
      <c r="M17" s="10">
        <v>0</v>
      </c>
      <c r="N17" s="10">
        <v>58.050069999999998</v>
      </c>
      <c r="O17" s="10">
        <v>57.000070000000001</v>
      </c>
      <c r="Q17" s="10">
        <v>0</v>
      </c>
      <c r="R17" s="10">
        <v>546.44000000000005</v>
      </c>
      <c r="S17" s="10">
        <v>535.55999999999995</v>
      </c>
    </row>
    <row r="18" spans="1:19" x14ac:dyDescent="0.2">
      <c r="A18" s="9" t="s">
        <v>38</v>
      </c>
      <c r="B18" s="9" t="s">
        <v>39</v>
      </c>
      <c r="C18" s="9">
        <v>4</v>
      </c>
      <c r="D18" s="9">
        <v>0</v>
      </c>
      <c r="E18" s="9">
        <v>9</v>
      </c>
      <c r="F18" s="9">
        <v>13</v>
      </c>
      <c r="H18" s="10">
        <v>98</v>
      </c>
      <c r="I18" s="10">
        <v>0</v>
      </c>
      <c r="J18" s="10">
        <v>100.22</v>
      </c>
      <c r="K18" s="10">
        <v>99.54</v>
      </c>
      <c r="M18" s="10">
        <v>68.724999999999994</v>
      </c>
      <c r="N18" s="10">
        <v>77.63342999999999</v>
      </c>
      <c r="O18" s="10">
        <v>74.66395</v>
      </c>
      <c r="Q18" s="10">
        <v>702.21</v>
      </c>
      <c r="R18" s="10">
        <v>787.8</v>
      </c>
      <c r="S18" s="10">
        <v>759.27</v>
      </c>
    </row>
    <row r="19" spans="1:19" x14ac:dyDescent="0.2">
      <c r="A19" s="9" t="s">
        <v>40</v>
      </c>
      <c r="B19" s="9" t="s">
        <v>41</v>
      </c>
      <c r="C19" s="9">
        <v>1</v>
      </c>
      <c r="D19" s="9">
        <v>1</v>
      </c>
      <c r="E19" s="9">
        <v>8</v>
      </c>
      <c r="F19" s="9">
        <v>10</v>
      </c>
      <c r="H19" s="10">
        <v>80</v>
      </c>
      <c r="I19" s="10">
        <v>76</v>
      </c>
      <c r="J19" s="10">
        <v>100.5</v>
      </c>
      <c r="K19" s="10">
        <v>96</v>
      </c>
      <c r="M19" s="10">
        <v>0</v>
      </c>
      <c r="N19" s="10">
        <v>78.66</v>
      </c>
      <c r="O19" s="10">
        <v>76.633330000000001</v>
      </c>
      <c r="Q19" s="10">
        <v>0</v>
      </c>
      <c r="R19" s="10">
        <v>728.52</v>
      </c>
      <c r="S19" s="10">
        <v>745.64</v>
      </c>
    </row>
    <row r="20" spans="1:19" x14ac:dyDescent="0.2">
      <c r="A20" s="9" t="s">
        <v>42</v>
      </c>
      <c r="B20" s="9" t="s">
        <v>43</v>
      </c>
      <c r="C20" s="9">
        <v>0</v>
      </c>
      <c r="D20" s="9">
        <v>0</v>
      </c>
      <c r="E20" s="9">
        <v>12</v>
      </c>
      <c r="F20" s="9">
        <v>12</v>
      </c>
      <c r="H20" s="10">
        <v>0</v>
      </c>
      <c r="I20" s="10">
        <v>0</v>
      </c>
      <c r="J20" s="10">
        <v>133.75</v>
      </c>
      <c r="K20" s="10">
        <v>133.75</v>
      </c>
      <c r="M20" s="10">
        <v>0</v>
      </c>
      <c r="N20" s="10">
        <v>120.55714</v>
      </c>
      <c r="O20" s="10">
        <v>120.55714</v>
      </c>
      <c r="Q20" s="10">
        <v>0</v>
      </c>
      <c r="R20" s="10">
        <v>866.69</v>
      </c>
      <c r="S20" s="10">
        <v>866.69</v>
      </c>
    </row>
    <row r="21" spans="1:19" x14ac:dyDescent="0.2">
      <c r="A21" s="9" t="s">
        <v>44</v>
      </c>
      <c r="B21" s="9" t="s">
        <v>45</v>
      </c>
      <c r="C21" s="9">
        <v>38</v>
      </c>
      <c r="D21" s="9">
        <v>1</v>
      </c>
      <c r="E21" s="9">
        <v>38</v>
      </c>
      <c r="F21" s="9">
        <v>77</v>
      </c>
      <c r="H21" s="10">
        <v>84.89</v>
      </c>
      <c r="I21" s="10">
        <v>54</v>
      </c>
      <c r="J21" s="10">
        <v>98.32</v>
      </c>
      <c r="K21" s="10">
        <v>91.12</v>
      </c>
      <c r="M21" s="10">
        <v>150.85248999999999</v>
      </c>
      <c r="N21" s="10">
        <v>219.65839000000003</v>
      </c>
      <c r="O21" s="10">
        <v>184.32563000000002</v>
      </c>
      <c r="Q21" s="10">
        <v>1816.81</v>
      </c>
      <c r="R21" s="10">
        <v>2353.8200000000002</v>
      </c>
      <c r="S21" s="10">
        <v>2078.06</v>
      </c>
    </row>
    <row r="22" spans="1:19" x14ac:dyDescent="0.2">
      <c r="A22" s="9" t="s">
        <v>46</v>
      </c>
      <c r="B22" s="9" t="s">
        <v>47</v>
      </c>
      <c r="C22" s="9">
        <v>16</v>
      </c>
      <c r="D22" s="9">
        <v>1</v>
      </c>
      <c r="E22" s="9">
        <v>32</v>
      </c>
      <c r="F22" s="9">
        <v>49</v>
      </c>
      <c r="H22" s="10">
        <v>65.08</v>
      </c>
      <c r="I22" s="10">
        <v>73</v>
      </c>
      <c r="J22" s="10">
        <v>110.44</v>
      </c>
      <c r="K22" s="10">
        <v>96.81</v>
      </c>
      <c r="M22" s="10">
        <v>107.97505</v>
      </c>
      <c r="N22" s="10">
        <v>200.24332999999999</v>
      </c>
      <c r="O22" s="10">
        <v>173.58804999999998</v>
      </c>
      <c r="Q22" s="10">
        <v>1729.8</v>
      </c>
      <c r="R22" s="10">
        <v>1996.12</v>
      </c>
      <c r="S22" s="10">
        <v>1919.18</v>
      </c>
    </row>
    <row r="23" spans="1:19" x14ac:dyDescent="0.2">
      <c r="A23" s="9" t="s">
        <v>48</v>
      </c>
      <c r="B23" s="9" t="s">
        <v>49</v>
      </c>
      <c r="C23" s="9">
        <v>10</v>
      </c>
      <c r="D23" s="9">
        <v>0</v>
      </c>
      <c r="E23" s="9">
        <v>30</v>
      </c>
      <c r="F23" s="9">
        <v>40</v>
      </c>
      <c r="H23" s="10">
        <v>109.38</v>
      </c>
      <c r="I23" s="10">
        <v>0</v>
      </c>
      <c r="J23" s="10">
        <v>126.55</v>
      </c>
      <c r="K23" s="10">
        <v>121.97</v>
      </c>
      <c r="M23" s="10">
        <v>185.5</v>
      </c>
      <c r="N23" s="10">
        <v>210.79765</v>
      </c>
      <c r="O23" s="10">
        <v>204.05160999999998</v>
      </c>
      <c r="Q23" s="10">
        <v>1850.31</v>
      </c>
      <c r="R23" s="10">
        <v>2047.71</v>
      </c>
      <c r="S23" s="10">
        <v>1995.07</v>
      </c>
    </row>
    <row r="24" spans="1:19" x14ac:dyDescent="0.2">
      <c r="A24" s="9" t="s">
        <v>50</v>
      </c>
      <c r="B24" s="9" t="s">
        <v>51</v>
      </c>
      <c r="C24" s="9">
        <v>1</v>
      </c>
      <c r="D24" s="9">
        <v>0</v>
      </c>
      <c r="E24" s="9">
        <v>6</v>
      </c>
      <c r="F24" s="9">
        <v>7</v>
      </c>
      <c r="H24" s="10">
        <v>0</v>
      </c>
      <c r="I24" s="10">
        <v>0</v>
      </c>
      <c r="J24" s="10">
        <v>113.33</v>
      </c>
      <c r="K24" s="10">
        <v>113.33</v>
      </c>
      <c r="M24" s="10">
        <v>0</v>
      </c>
      <c r="N24" s="10">
        <v>131.30242999999999</v>
      </c>
      <c r="O24" s="10">
        <v>131.30242999999999</v>
      </c>
      <c r="Q24" s="10">
        <v>0</v>
      </c>
      <c r="R24" s="10">
        <v>1076.22</v>
      </c>
      <c r="S24" s="10">
        <v>1076.22</v>
      </c>
    </row>
    <row r="25" spans="1:19" x14ac:dyDescent="0.2">
      <c r="A25" s="9" t="s">
        <v>52</v>
      </c>
      <c r="B25" s="9" t="s">
        <v>53</v>
      </c>
      <c r="C25" s="9">
        <v>261</v>
      </c>
      <c r="D25" s="9">
        <v>15</v>
      </c>
      <c r="E25" s="9">
        <v>401</v>
      </c>
      <c r="F25" s="9">
        <v>677</v>
      </c>
      <c r="H25" s="10">
        <v>78.73</v>
      </c>
      <c r="I25" s="10">
        <v>69.63</v>
      </c>
      <c r="J25" s="10">
        <v>70.150000000000006</v>
      </c>
      <c r="K25" s="10">
        <v>73.42</v>
      </c>
      <c r="M25" s="10">
        <v>231.23419000000001</v>
      </c>
      <c r="N25" s="10">
        <v>152.23539000000002</v>
      </c>
      <c r="O25" s="10">
        <v>184.87196</v>
      </c>
      <c r="Q25" s="10">
        <v>2901.12</v>
      </c>
      <c r="R25" s="10">
        <v>2097.2800000000002</v>
      </c>
      <c r="S25" s="10">
        <v>2429.37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4</v>
      </c>
      <c r="E26" s="9">
        <v>16</v>
      </c>
      <c r="F26" s="9">
        <v>20</v>
      </c>
      <c r="H26" s="10">
        <v>0</v>
      </c>
      <c r="I26" s="10">
        <v>83.75</v>
      </c>
      <c r="J26" s="10">
        <v>82.29</v>
      </c>
      <c r="K26" s="10">
        <v>82.61</v>
      </c>
      <c r="M26" s="10">
        <v>0</v>
      </c>
      <c r="N26" s="10">
        <v>92.64</v>
      </c>
      <c r="O26" s="10">
        <v>92.64</v>
      </c>
      <c r="Q26" s="10">
        <v>0</v>
      </c>
      <c r="R26" s="10">
        <v>1064.83</v>
      </c>
      <c r="S26" s="10">
        <v>1064.83</v>
      </c>
    </row>
    <row r="27" spans="1:19" x14ac:dyDescent="0.2">
      <c r="A27" s="9" t="s">
        <v>56</v>
      </c>
      <c r="B27" s="9" t="s">
        <v>57</v>
      </c>
      <c r="C27" s="9">
        <v>0</v>
      </c>
      <c r="D27" s="9">
        <v>0</v>
      </c>
      <c r="E27" s="9">
        <v>25</v>
      </c>
      <c r="F27" s="9">
        <v>25</v>
      </c>
      <c r="H27" s="10">
        <v>0</v>
      </c>
      <c r="I27" s="10">
        <v>0</v>
      </c>
      <c r="J27" s="10">
        <v>80.319999999999993</v>
      </c>
      <c r="K27" s="10">
        <v>80.319999999999993</v>
      </c>
      <c r="M27" s="10">
        <v>0</v>
      </c>
      <c r="N27" s="10">
        <v>48.069139999999997</v>
      </c>
      <c r="O27" s="10">
        <v>48.069139999999997</v>
      </c>
      <c r="Q27" s="10">
        <v>0</v>
      </c>
      <c r="R27" s="10">
        <v>598.91999999999996</v>
      </c>
      <c r="S27" s="10">
        <v>598.91999999999996</v>
      </c>
    </row>
    <row r="28" spans="1:19" x14ac:dyDescent="0.2">
      <c r="A28" s="9" t="s">
        <v>58</v>
      </c>
      <c r="B28" s="9" t="s">
        <v>59</v>
      </c>
      <c r="C28" s="9">
        <v>13</v>
      </c>
      <c r="D28" s="9">
        <v>6</v>
      </c>
      <c r="E28" s="9">
        <v>30</v>
      </c>
      <c r="F28" s="9">
        <v>49</v>
      </c>
      <c r="H28" s="10">
        <v>124.42</v>
      </c>
      <c r="I28" s="10">
        <v>81.75</v>
      </c>
      <c r="J28" s="10">
        <v>101.79</v>
      </c>
      <c r="K28" s="10">
        <v>106.14</v>
      </c>
      <c r="M28" s="10">
        <v>170.5</v>
      </c>
      <c r="N28" s="10">
        <v>163.74705</v>
      </c>
      <c r="O28" s="10">
        <v>165.99803</v>
      </c>
      <c r="Q28" s="10">
        <v>1422.05</v>
      </c>
      <c r="R28" s="10">
        <v>1748.56</v>
      </c>
      <c r="S28" s="10">
        <v>1639.72</v>
      </c>
    </row>
    <row r="29" spans="1:19" x14ac:dyDescent="0.2">
      <c r="A29" s="9" t="s">
        <v>60</v>
      </c>
      <c r="B29" s="9" t="s">
        <v>61</v>
      </c>
      <c r="C29" s="9">
        <v>32</v>
      </c>
      <c r="D29" s="9">
        <v>0</v>
      </c>
      <c r="E29" s="9">
        <v>93</v>
      </c>
      <c r="F29" s="9">
        <v>125</v>
      </c>
      <c r="H29" s="10">
        <v>104.1</v>
      </c>
      <c r="I29" s="10">
        <v>0</v>
      </c>
      <c r="J29" s="10">
        <v>96.08</v>
      </c>
      <c r="K29" s="10">
        <v>98.13</v>
      </c>
      <c r="M29" s="10">
        <v>229.6841</v>
      </c>
      <c r="N29" s="10">
        <v>182.45684</v>
      </c>
      <c r="O29" s="10">
        <v>195.52867000000001</v>
      </c>
      <c r="Q29" s="10">
        <v>2261.0300000000002</v>
      </c>
      <c r="R29" s="10">
        <v>1985.38</v>
      </c>
      <c r="S29" s="10">
        <v>2061.6799999999998</v>
      </c>
    </row>
    <row r="30" spans="1:19" x14ac:dyDescent="0.2">
      <c r="A30" s="9" t="s">
        <v>62</v>
      </c>
      <c r="B30" s="9" t="s">
        <v>63</v>
      </c>
      <c r="C30" s="9">
        <v>327</v>
      </c>
      <c r="D30" s="9">
        <v>12</v>
      </c>
      <c r="E30" s="9">
        <v>3300</v>
      </c>
      <c r="F30" s="9">
        <v>3639</v>
      </c>
      <c r="H30" s="10">
        <v>86.98</v>
      </c>
      <c r="I30" s="10">
        <v>76.44</v>
      </c>
      <c r="J30" s="10">
        <v>78.22</v>
      </c>
      <c r="K30" s="10">
        <v>79.03</v>
      </c>
      <c r="M30" s="10">
        <v>432.28285</v>
      </c>
      <c r="N30" s="10">
        <v>347.93365</v>
      </c>
      <c r="O30" s="10">
        <v>358.53550000000001</v>
      </c>
      <c r="Q30" s="10">
        <v>4657.75</v>
      </c>
      <c r="R30" s="10">
        <v>4041.58</v>
      </c>
      <c r="S30" s="10">
        <v>4119.03</v>
      </c>
    </row>
    <row r="31" spans="1:19" x14ac:dyDescent="0.2">
      <c r="A31" s="9" t="s">
        <v>64</v>
      </c>
      <c r="B31" s="9" t="s">
        <v>65</v>
      </c>
      <c r="C31" s="9">
        <v>0</v>
      </c>
      <c r="D31" s="9">
        <v>0</v>
      </c>
      <c r="E31" s="9">
        <v>16</v>
      </c>
      <c r="F31" s="9">
        <v>16</v>
      </c>
      <c r="H31" s="10">
        <v>0</v>
      </c>
      <c r="I31" s="10">
        <v>0</v>
      </c>
      <c r="J31" s="10">
        <v>177.27</v>
      </c>
      <c r="K31" s="10">
        <v>177.27</v>
      </c>
      <c r="M31" s="10">
        <v>0</v>
      </c>
      <c r="N31" s="10">
        <v>323.02032000000003</v>
      </c>
      <c r="O31" s="10">
        <v>323.02032000000003</v>
      </c>
      <c r="Q31" s="10">
        <v>0</v>
      </c>
      <c r="R31" s="10">
        <v>2069.8000000000002</v>
      </c>
      <c r="S31" s="10">
        <v>2069.8000000000002</v>
      </c>
    </row>
    <row r="32" spans="1:19" x14ac:dyDescent="0.2">
      <c r="A32" s="9" t="s">
        <v>435</v>
      </c>
      <c r="B32" s="9" t="s">
        <v>436</v>
      </c>
      <c r="C32" s="9">
        <v>2</v>
      </c>
      <c r="D32" s="9">
        <v>0</v>
      </c>
      <c r="E32" s="9">
        <v>9</v>
      </c>
      <c r="F32" s="9">
        <v>11</v>
      </c>
      <c r="H32" s="10">
        <v>90</v>
      </c>
      <c r="I32" s="10">
        <v>0</v>
      </c>
      <c r="J32" s="10">
        <v>130.16999999999999</v>
      </c>
      <c r="K32" s="10">
        <v>124.43</v>
      </c>
      <c r="M32" s="10">
        <v>0</v>
      </c>
      <c r="N32" s="10">
        <v>94.666669999999996</v>
      </c>
      <c r="O32" s="10">
        <v>89</v>
      </c>
      <c r="Q32" s="10">
        <v>0</v>
      </c>
      <c r="R32" s="10">
        <v>732.36</v>
      </c>
      <c r="S32" s="10">
        <v>715.04</v>
      </c>
    </row>
    <row r="33" spans="1:19" x14ac:dyDescent="0.2">
      <c r="A33" s="9" t="s">
        <v>66</v>
      </c>
      <c r="B33" s="9" t="s">
        <v>67</v>
      </c>
      <c r="C33" s="9">
        <v>3</v>
      </c>
      <c r="D33" s="9">
        <v>0</v>
      </c>
      <c r="E33" s="9">
        <v>28</v>
      </c>
      <c r="F33" s="9">
        <v>31</v>
      </c>
      <c r="H33" s="10">
        <v>55</v>
      </c>
      <c r="I33" s="10">
        <v>0</v>
      </c>
      <c r="J33" s="10">
        <v>93.23</v>
      </c>
      <c r="K33" s="10">
        <v>90.5</v>
      </c>
      <c r="M33" s="10">
        <v>66</v>
      </c>
      <c r="N33" s="10">
        <v>74.911419999999993</v>
      </c>
      <c r="O33" s="10">
        <v>74.274889999999999</v>
      </c>
      <c r="Q33" s="10">
        <v>1221.49</v>
      </c>
      <c r="R33" s="10">
        <v>846.99</v>
      </c>
      <c r="S33" s="10">
        <v>873.74</v>
      </c>
    </row>
    <row r="34" spans="1:19" x14ac:dyDescent="0.2">
      <c r="A34" s="9" t="s">
        <v>68</v>
      </c>
      <c r="B34" s="9" t="s">
        <v>69</v>
      </c>
      <c r="C34" s="9">
        <v>8</v>
      </c>
      <c r="D34" s="9">
        <v>0</v>
      </c>
      <c r="E34" s="9">
        <v>35</v>
      </c>
      <c r="F34" s="9">
        <v>43</v>
      </c>
      <c r="H34" s="10">
        <v>151.25</v>
      </c>
      <c r="I34" s="10">
        <v>0</v>
      </c>
      <c r="J34" s="10">
        <v>161.33000000000001</v>
      </c>
      <c r="K34" s="10">
        <v>160.24</v>
      </c>
      <c r="M34" s="10">
        <v>170.62524999999999</v>
      </c>
      <c r="N34" s="10">
        <v>185.91260999999997</v>
      </c>
      <c r="O34" s="10">
        <v>184.25992000000002</v>
      </c>
      <c r="Q34" s="10">
        <v>1264.8</v>
      </c>
      <c r="R34" s="10">
        <v>1331.84</v>
      </c>
      <c r="S34" s="10">
        <v>1324.59</v>
      </c>
    </row>
    <row r="35" spans="1:19" x14ac:dyDescent="0.2">
      <c r="A35" s="9" t="s">
        <v>70</v>
      </c>
      <c r="B35" s="9" t="s">
        <v>71</v>
      </c>
      <c r="C35" s="9">
        <v>8</v>
      </c>
      <c r="D35" s="9">
        <v>1</v>
      </c>
      <c r="E35" s="9">
        <v>19</v>
      </c>
      <c r="F35" s="9">
        <v>28</v>
      </c>
      <c r="H35" s="10">
        <v>90.38</v>
      </c>
      <c r="I35" s="10">
        <v>0</v>
      </c>
      <c r="J35" s="10">
        <v>113.79</v>
      </c>
      <c r="K35" s="10">
        <v>106.85</v>
      </c>
      <c r="M35" s="10">
        <v>95.875</v>
      </c>
      <c r="N35" s="10">
        <v>109.61471</v>
      </c>
      <c r="O35" s="10">
        <v>105.218</v>
      </c>
      <c r="Q35" s="10">
        <v>1105.8699999999999</v>
      </c>
      <c r="R35" s="10">
        <v>1041.48</v>
      </c>
      <c r="S35" s="10">
        <v>1062.08</v>
      </c>
    </row>
    <row r="36" spans="1:19" x14ac:dyDescent="0.2">
      <c r="A36" s="9" t="s">
        <v>72</v>
      </c>
      <c r="B36" s="9" t="s">
        <v>73</v>
      </c>
      <c r="C36" s="9">
        <v>8</v>
      </c>
      <c r="D36" s="9">
        <v>0</v>
      </c>
      <c r="E36" s="9">
        <v>113</v>
      </c>
      <c r="F36" s="9">
        <v>121</v>
      </c>
      <c r="H36" s="10">
        <v>66</v>
      </c>
      <c r="I36" s="10">
        <v>0</v>
      </c>
      <c r="J36" s="10">
        <v>77.86</v>
      </c>
      <c r="K36" s="10">
        <v>77.63</v>
      </c>
      <c r="M36" s="10">
        <v>163.03755999999998</v>
      </c>
      <c r="N36" s="10">
        <v>149.39301</v>
      </c>
      <c r="O36" s="10">
        <v>149.66589999999999</v>
      </c>
      <c r="Q36" s="10">
        <v>2841.18</v>
      </c>
      <c r="R36" s="10">
        <v>2040.35</v>
      </c>
      <c r="S36" s="10">
        <v>2056.37</v>
      </c>
    </row>
    <row r="37" spans="1:19" x14ac:dyDescent="0.2">
      <c r="A37" s="9" t="s">
        <v>74</v>
      </c>
      <c r="B37" s="9" t="s">
        <v>75</v>
      </c>
      <c r="C37" s="9">
        <v>3</v>
      </c>
      <c r="D37" s="9">
        <v>0</v>
      </c>
      <c r="E37" s="9">
        <v>11</v>
      </c>
      <c r="F37" s="9">
        <v>14</v>
      </c>
      <c r="H37" s="10">
        <v>177.33</v>
      </c>
      <c r="I37" s="10">
        <v>0</v>
      </c>
      <c r="J37" s="10">
        <v>140.16999999999999</v>
      </c>
      <c r="K37" s="10">
        <v>152.56</v>
      </c>
      <c r="M37" s="10">
        <v>142.83332999999999</v>
      </c>
      <c r="N37" s="10">
        <v>124.54169999999999</v>
      </c>
      <c r="O37" s="10">
        <v>132.38096999999999</v>
      </c>
      <c r="Q37" s="10">
        <v>803.49</v>
      </c>
      <c r="R37" s="10">
        <v>648.91</v>
      </c>
      <c r="S37" s="10">
        <v>715.16</v>
      </c>
    </row>
    <row r="38" spans="1:19" x14ac:dyDescent="0.2">
      <c r="A38" s="9" t="s">
        <v>76</v>
      </c>
      <c r="B38" s="9" t="s">
        <v>77</v>
      </c>
      <c r="C38" s="9">
        <v>0</v>
      </c>
      <c r="D38" s="9">
        <v>0</v>
      </c>
      <c r="E38" s="9">
        <v>23</v>
      </c>
      <c r="F38" s="9">
        <v>23</v>
      </c>
      <c r="H38" s="10">
        <v>0</v>
      </c>
      <c r="I38" s="10">
        <v>0</v>
      </c>
      <c r="J38" s="10">
        <v>210.35</v>
      </c>
      <c r="K38" s="10">
        <v>210.35</v>
      </c>
      <c r="M38" s="10">
        <v>0</v>
      </c>
      <c r="N38" s="10">
        <v>357.12579999999997</v>
      </c>
      <c r="O38" s="10">
        <v>357.12579999999997</v>
      </c>
      <c r="Q38" s="10">
        <v>0</v>
      </c>
      <c r="R38" s="10">
        <v>2020.03</v>
      </c>
      <c r="S38" s="10">
        <v>2020.03</v>
      </c>
    </row>
    <row r="39" spans="1:19" x14ac:dyDescent="0.2">
      <c r="A39" s="9" t="s">
        <v>78</v>
      </c>
      <c r="B39" s="9" t="s">
        <v>79</v>
      </c>
      <c r="C39" s="9">
        <v>40</v>
      </c>
      <c r="D39" s="9">
        <v>1</v>
      </c>
      <c r="E39" s="9">
        <v>101</v>
      </c>
      <c r="F39" s="9">
        <v>142</v>
      </c>
      <c r="H39" s="10">
        <v>104.06</v>
      </c>
      <c r="I39" s="10">
        <v>62</v>
      </c>
      <c r="J39" s="10">
        <v>79.540000000000006</v>
      </c>
      <c r="K39" s="10">
        <v>85.82</v>
      </c>
      <c r="M39" s="10">
        <v>163.24844000000002</v>
      </c>
      <c r="N39" s="10">
        <v>111.16609</v>
      </c>
      <c r="O39" s="10">
        <v>124.49916999999999</v>
      </c>
      <c r="Q39" s="10">
        <v>1646.81</v>
      </c>
      <c r="R39" s="10">
        <v>1507.59</v>
      </c>
      <c r="S39" s="10">
        <v>1543.23</v>
      </c>
    </row>
    <row r="40" spans="1:19" x14ac:dyDescent="0.2">
      <c r="A40" s="9" t="s">
        <v>80</v>
      </c>
      <c r="B40" s="9" t="s">
        <v>81</v>
      </c>
      <c r="C40" s="9">
        <v>7</v>
      </c>
      <c r="D40" s="9">
        <v>0</v>
      </c>
      <c r="E40" s="9">
        <v>17</v>
      </c>
      <c r="F40" s="9">
        <v>24</v>
      </c>
      <c r="H40" s="10">
        <v>130.86000000000001</v>
      </c>
      <c r="I40" s="10">
        <v>0</v>
      </c>
      <c r="J40" s="10">
        <v>145</v>
      </c>
      <c r="K40" s="10">
        <v>140.5</v>
      </c>
      <c r="M40" s="10">
        <v>407.87745000000001</v>
      </c>
      <c r="N40" s="10">
        <v>375.29692</v>
      </c>
      <c r="O40" s="10">
        <v>385.66345000000001</v>
      </c>
      <c r="Q40" s="10">
        <v>2617.4699999999998</v>
      </c>
      <c r="R40" s="10">
        <v>2176.64</v>
      </c>
      <c r="S40" s="10">
        <v>2316.9</v>
      </c>
    </row>
    <row r="41" spans="1:19" x14ac:dyDescent="0.2">
      <c r="A41" s="9" t="s">
        <v>82</v>
      </c>
      <c r="B41" s="9" t="s">
        <v>83</v>
      </c>
      <c r="C41" s="9">
        <v>8</v>
      </c>
      <c r="D41" s="9">
        <v>0</v>
      </c>
      <c r="E41" s="9">
        <v>44</v>
      </c>
      <c r="F41" s="9">
        <v>52</v>
      </c>
      <c r="H41" s="10">
        <v>145.71</v>
      </c>
      <c r="I41" s="10">
        <v>0</v>
      </c>
      <c r="J41" s="10">
        <v>158.61000000000001</v>
      </c>
      <c r="K41" s="10">
        <v>156.72999999999999</v>
      </c>
      <c r="M41" s="10">
        <v>179.25714000000002</v>
      </c>
      <c r="N41" s="10">
        <v>224.61276000000001</v>
      </c>
      <c r="O41" s="10">
        <v>217.9984</v>
      </c>
      <c r="Q41" s="10">
        <v>1664.89</v>
      </c>
      <c r="R41" s="10">
        <v>1571.7</v>
      </c>
      <c r="S41" s="10">
        <v>1585.29</v>
      </c>
    </row>
    <row r="42" spans="1:19" x14ac:dyDescent="0.2">
      <c r="A42" s="9" t="s">
        <v>84</v>
      </c>
      <c r="B42" s="9" t="s">
        <v>85</v>
      </c>
      <c r="C42" s="9">
        <v>17</v>
      </c>
      <c r="D42" s="9">
        <v>0</v>
      </c>
      <c r="E42" s="9">
        <v>55</v>
      </c>
      <c r="F42" s="9">
        <v>72</v>
      </c>
      <c r="H42" s="10">
        <v>88.94</v>
      </c>
      <c r="I42" s="10">
        <v>0</v>
      </c>
      <c r="J42" s="10">
        <v>78.819999999999993</v>
      </c>
      <c r="K42" s="10">
        <v>81.349999999999994</v>
      </c>
      <c r="M42" s="10">
        <v>177.47058999999999</v>
      </c>
      <c r="N42" s="10">
        <v>158.55524</v>
      </c>
      <c r="O42" s="10">
        <v>163.35466</v>
      </c>
      <c r="Q42" s="10">
        <v>2048.5100000000002</v>
      </c>
      <c r="R42" s="10">
        <v>2162.9499999999998</v>
      </c>
      <c r="S42" s="10">
        <v>2133.91</v>
      </c>
    </row>
    <row r="43" spans="1:19" x14ac:dyDescent="0.2">
      <c r="A43" s="9" t="s">
        <v>86</v>
      </c>
      <c r="B43" s="9" t="s">
        <v>87</v>
      </c>
      <c r="C43" s="9">
        <v>12</v>
      </c>
      <c r="D43" s="9">
        <v>0</v>
      </c>
      <c r="E43" s="9">
        <v>69</v>
      </c>
      <c r="F43" s="9">
        <v>81</v>
      </c>
      <c r="H43" s="10">
        <v>131.80000000000001</v>
      </c>
      <c r="I43" s="10">
        <v>0</v>
      </c>
      <c r="J43" s="10">
        <v>120.88</v>
      </c>
      <c r="K43" s="10">
        <v>122.3</v>
      </c>
      <c r="M43" s="10">
        <v>153.8135</v>
      </c>
      <c r="N43" s="10">
        <v>238.28292000000002</v>
      </c>
      <c r="O43" s="10">
        <v>227.02033</v>
      </c>
      <c r="Q43" s="10">
        <v>1462.67</v>
      </c>
      <c r="R43" s="10">
        <v>2059.2399999999998</v>
      </c>
      <c r="S43" s="10">
        <v>1979.7</v>
      </c>
    </row>
    <row r="44" spans="1:19" x14ac:dyDescent="0.2">
      <c r="A44" s="9" t="s">
        <v>88</v>
      </c>
      <c r="B44" s="9" t="s">
        <v>89</v>
      </c>
      <c r="C44" s="9">
        <v>2</v>
      </c>
      <c r="D44" s="9">
        <v>0</v>
      </c>
      <c r="E44" s="9">
        <v>134</v>
      </c>
      <c r="F44" s="9">
        <v>136</v>
      </c>
      <c r="H44" s="10">
        <v>107.5</v>
      </c>
      <c r="I44" s="10">
        <v>0</v>
      </c>
      <c r="J44" s="10">
        <v>93.41</v>
      </c>
      <c r="K44" s="10">
        <v>93.64</v>
      </c>
      <c r="M44" s="10">
        <v>0</v>
      </c>
      <c r="N44" s="10">
        <v>166.35953000000001</v>
      </c>
      <c r="O44" s="10">
        <v>165.88632000000001</v>
      </c>
      <c r="Q44" s="10">
        <v>0</v>
      </c>
      <c r="R44" s="10">
        <v>1954.74</v>
      </c>
      <c r="S44" s="10">
        <v>1947.92</v>
      </c>
    </row>
    <row r="45" spans="1:19" x14ac:dyDescent="0.2">
      <c r="A45" s="9" t="s">
        <v>90</v>
      </c>
      <c r="B45" s="9" t="s">
        <v>91</v>
      </c>
      <c r="C45" s="9">
        <v>13</v>
      </c>
      <c r="D45" s="9">
        <v>0</v>
      </c>
      <c r="E45" s="9">
        <v>38</v>
      </c>
      <c r="F45" s="9">
        <v>51</v>
      </c>
      <c r="H45" s="10">
        <v>103.85</v>
      </c>
      <c r="I45" s="10">
        <v>0</v>
      </c>
      <c r="J45" s="10">
        <v>79.16</v>
      </c>
      <c r="K45" s="10">
        <v>85.58</v>
      </c>
      <c r="M45" s="10">
        <v>209.80660999999998</v>
      </c>
      <c r="N45" s="10">
        <v>157.89463000000001</v>
      </c>
      <c r="O45" s="10">
        <v>171.39174</v>
      </c>
      <c r="Q45" s="10">
        <v>2132.0500000000002</v>
      </c>
      <c r="R45" s="10">
        <v>1937.57</v>
      </c>
      <c r="S45" s="10">
        <v>1988.13</v>
      </c>
    </row>
    <row r="46" spans="1:19" x14ac:dyDescent="0.2">
      <c r="A46" s="9" t="s">
        <v>92</v>
      </c>
      <c r="B46" s="9" t="s">
        <v>93</v>
      </c>
      <c r="C46" s="9">
        <v>0</v>
      </c>
      <c r="D46" s="9">
        <v>0</v>
      </c>
      <c r="E46" s="9">
        <v>0</v>
      </c>
      <c r="F46" s="9"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10">
        <v>0</v>
      </c>
      <c r="R46" s="10">
        <v>0</v>
      </c>
      <c r="S46" s="10">
        <v>0</v>
      </c>
    </row>
    <row r="47" spans="1:19" x14ac:dyDescent="0.2">
      <c r="A47" s="9" t="s">
        <v>94</v>
      </c>
      <c r="B47" s="9" t="s">
        <v>95</v>
      </c>
      <c r="C47" s="9">
        <v>8</v>
      </c>
      <c r="D47" s="9">
        <v>0</v>
      </c>
      <c r="E47" s="9">
        <v>31</v>
      </c>
      <c r="F47" s="9">
        <v>39</v>
      </c>
      <c r="H47" s="10">
        <v>77.63</v>
      </c>
      <c r="I47" s="10">
        <v>0</v>
      </c>
      <c r="J47" s="10">
        <v>84.03</v>
      </c>
      <c r="K47" s="10">
        <v>82.65</v>
      </c>
      <c r="M47" s="10">
        <v>103</v>
      </c>
      <c r="N47" s="10">
        <v>99.783770000000004</v>
      </c>
      <c r="O47" s="10">
        <v>100.49849</v>
      </c>
      <c r="Q47" s="10">
        <v>1352.54</v>
      </c>
      <c r="R47" s="10">
        <v>1155.54</v>
      </c>
      <c r="S47" s="10">
        <v>1199.32</v>
      </c>
    </row>
    <row r="48" spans="1:19" x14ac:dyDescent="0.2">
      <c r="A48" s="9" t="s">
        <v>96</v>
      </c>
      <c r="B48" s="9" t="s">
        <v>97</v>
      </c>
      <c r="C48" s="9">
        <v>2</v>
      </c>
      <c r="D48" s="9">
        <v>0</v>
      </c>
      <c r="E48" s="9">
        <v>10</v>
      </c>
      <c r="F48" s="9">
        <v>12</v>
      </c>
      <c r="H48" s="10">
        <v>148.5</v>
      </c>
      <c r="I48" s="10">
        <v>0</v>
      </c>
      <c r="J48" s="10">
        <v>92.5</v>
      </c>
      <c r="K48" s="10">
        <v>103.7</v>
      </c>
      <c r="M48" s="10">
        <v>0</v>
      </c>
      <c r="N48" s="10">
        <v>82.261740000000003</v>
      </c>
      <c r="O48" s="10">
        <v>87.809389999999993</v>
      </c>
      <c r="Q48" s="10">
        <v>0</v>
      </c>
      <c r="R48" s="10">
        <v>1024.56</v>
      </c>
      <c r="S48" s="10">
        <v>954.68</v>
      </c>
    </row>
    <row r="49" spans="1:19" x14ac:dyDescent="0.2">
      <c r="A49" s="9" t="s">
        <v>98</v>
      </c>
      <c r="B49" s="9" t="s">
        <v>99</v>
      </c>
      <c r="C49" s="9">
        <v>1</v>
      </c>
      <c r="D49" s="9">
        <v>0</v>
      </c>
      <c r="E49" s="9">
        <v>40</v>
      </c>
      <c r="F49" s="9">
        <v>41</v>
      </c>
      <c r="H49" s="10">
        <v>160</v>
      </c>
      <c r="I49" s="10">
        <v>0</v>
      </c>
      <c r="J49" s="10">
        <v>107.51</v>
      </c>
      <c r="K49" s="10">
        <v>108.82</v>
      </c>
      <c r="M49" s="10">
        <v>0</v>
      </c>
      <c r="N49" s="10">
        <v>229.77483999999998</v>
      </c>
      <c r="O49" s="10">
        <v>234.72812999999999</v>
      </c>
      <c r="Q49" s="10">
        <v>0</v>
      </c>
      <c r="R49" s="10">
        <v>2305.8200000000002</v>
      </c>
      <c r="S49" s="10">
        <v>2313.89</v>
      </c>
    </row>
    <row r="50" spans="1:19" x14ac:dyDescent="0.2">
      <c r="A50" s="9" t="s">
        <v>100</v>
      </c>
      <c r="B50" s="9" t="s">
        <v>101</v>
      </c>
      <c r="C50" s="9">
        <v>10</v>
      </c>
      <c r="D50" s="9">
        <v>0</v>
      </c>
      <c r="E50" s="9">
        <v>14</v>
      </c>
      <c r="F50" s="9">
        <v>24</v>
      </c>
      <c r="H50" s="10">
        <v>131.80000000000001</v>
      </c>
      <c r="I50" s="10">
        <v>0</v>
      </c>
      <c r="J50" s="10">
        <v>102.18</v>
      </c>
      <c r="K50" s="10">
        <v>116.28</v>
      </c>
      <c r="M50" s="10">
        <v>116.93591000000001</v>
      </c>
      <c r="N50" s="10">
        <v>107.55632000000001</v>
      </c>
      <c r="O50" s="10">
        <v>112.02279</v>
      </c>
      <c r="Q50" s="10">
        <v>981.38</v>
      </c>
      <c r="R50" s="10">
        <v>1123.6400000000001</v>
      </c>
      <c r="S50" s="10">
        <v>1055.9000000000001</v>
      </c>
    </row>
    <row r="51" spans="1:19" x14ac:dyDescent="0.2">
      <c r="A51" s="9" t="s">
        <v>102</v>
      </c>
      <c r="B51" s="9" t="s">
        <v>103</v>
      </c>
      <c r="C51" s="9">
        <v>2</v>
      </c>
      <c r="D51" s="9">
        <v>0</v>
      </c>
      <c r="E51" s="9">
        <v>65</v>
      </c>
      <c r="F51" s="9">
        <v>67</v>
      </c>
      <c r="H51" s="10">
        <v>196.5</v>
      </c>
      <c r="I51" s="10">
        <v>0</v>
      </c>
      <c r="J51" s="10">
        <v>131.74</v>
      </c>
      <c r="K51" s="10">
        <v>133.9</v>
      </c>
      <c r="M51" s="10">
        <v>0</v>
      </c>
      <c r="N51" s="10">
        <v>202.65259</v>
      </c>
      <c r="O51" s="10">
        <v>201.25077999999999</v>
      </c>
      <c r="Q51" s="10">
        <v>0</v>
      </c>
      <c r="R51" s="10">
        <v>1747.18</v>
      </c>
      <c r="S51" s="10">
        <v>1728.84</v>
      </c>
    </row>
    <row r="52" spans="1:19" x14ac:dyDescent="0.2">
      <c r="A52" s="9" t="s">
        <v>104</v>
      </c>
      <c r="B52" s="9" t="s">
        <v>105</v>
      </c>
      <c r="C52" s="9">
        <v>0</v>
      </c>
      <c r="D52" s="9">
        <v>0</v>
      </c>
      <c r="E52" s="9">
        <v>34</v>
      </c>
      <c r="F52" s="9">
        <v>34</v>
      </c>
      <c r="H52" s="10">
        <v>0</v>
      </c>
      <c r="I52" s="10">
        <v>0</v>
      </c>
      <c r="J52" s="10">
        <v>132.22999999999999</v>
      </c>
      <c r="K52" s="10">
        <v>132.22999999999999</v>
      </c>
      <c r="M52" s="10">
        <v>0</v>
      </c>
      <c r="N52" s="10">
        <v>257.65350000000001</v>
      </c>
      <c r="O52" s="10">
        <v>257.65350000000001</v>
      </c>
      <c r="Q52" s="10">
        <v>0</v>
      </c>
      <c r="R52" s="10">
        <v>2274.81</v>
      </c>
      <c r="S52" s="10">
        <v>2274.81</v>
      </c>
    </row>
    <row r="53" spans="1:19" x14ac:dyDescent="0.2">
      <c r="A53" s="9" t="s">
        <v>106</v>
      </c>
      <c r="B53" s="9" t="s">
        <v>107</v>
      </c>
      <c r="C53" s="9">
        <v>14</v>
      </c>
      <c r="D53" s="9">
        <v>0</v>
      </c>
      <c r="E53" s="9">
        <v>115</v>
      </c>
      <c r="F53" s="9">
        <v>129</v>
      </c>
      <c r="H53" s="10">
        <v>79.290000000000006</v>
      </c>
      <c r="I53" s="10">
        <v>0</v>
      </c>
      <c r="J53" s="10">
        <v>96.53</v>
      </c>
      <c r="K53" s="10">
        <v>94.47</v>
      </c>
      <c r="M53" s="10">
        <v>318.18675000000002</v>
      </c>
      <c r="N53" s="10">
        <v>318.50271999999995</v>
      </c>
      <c r="O53" s="10">
        <v>318.46321999999998</v>
      </c>
      <c r="Q53" s="10">
        <v>3928.61</v>
      </c>
      <c r="R53" s="10">
        <v>3440.93</v>
      </c>
      <c r="S53" s="10">
        <v>3501.89</v>
      </c>
    </row>
    <row r="54" spans="1:19" x14ac:dyDescent="0.2">
      <c r="A54" s="9" t="s">
        <v>108</v>
      </c>
      <c r="B54" s="9" t="s">
        <v>109</v>
      </c>
      <c r="C54" s="9">
        <v>4</v>
      </c>
      <c r="D54" s="9">
        <v>0</v>
      </c>
      <c r="E54" s="9">
        <v>128</v>
      </c>
      <c r="F54" s="9">
        <v>132</v>
      </c>
      <c r="H54" s="10">
        <v>91</v>
      </c>
      <c r="I54" s="10">
        <v>0</v>
      </c>
      <c r="J54" s="10">
        <v>71.98</v>
      </c>
      <c r="K54" s="10">
        <v>72.48</v>
      </c>
      <c r="M54" s="10">
        <v>199</v>
      </c>
      <c r="N54" s="10">
        <v>169.66314000000003</v>
      </c>
      <c r="O54" s="10">
        <v>170.44199</v>
      </c>
      <c r="Q54" s="10">
        <v>2396.6</v>
      </c>
      <c r="R54" s="10">
        <v>2191.35</v>
      </c>
      <c r="S54" s="10">
        <v>2196.8000000000002</v>
      </c>
    </row>
    <row r="55" spans="1:19" x14ac:dyDescent="0.2">
      <c r="A55" s="9" t="s">
        <v>110</v>
      </c>
      <c r="B55" s="9" t="s">
        <v>111</v>
      </c>
      <c r="C55" s="9">
        <v>2</v>
      </c>
      <c r="D55" s="9">
        <v>0</v>
      </c>
      <c r="E55" s="9">
        <v>228</v>
      </c>
      <c r="F55" s="9">
        <v>230</v>
      </c>
      <c r="H55" s="10">
        <v>68</v>
      </c>
      <c r="I55" s="10">
        <v>0</v>
      </c>
      <c r="J55" s="10">
        <v>103.07</v>
      </c>
      <c r="K55" s="10">
        <v>102.75</v>
      </c>
      <c r="M55" s="10">
        <v>0</v>
      </c>
      <c r="N55" s="10">
        <v>288.17147999999997</v>
      </c>
      <c r="O55" s="10">
        <v>286.34040999999996</v>
      </c>
      <c r="Q55" s="10">
        <v>0</v>
      </c>
      <c r="R55" s="10">
        <v>2690.74</v>
      </c>
      <c r="S55" s="10">
        <v>2678.86</v>
      </c>
    </row>
    <row r="56" spans="1:19" x14ac:dyDescent="0.2">
      <c r="A56" s="9" t="s">
        <v>112</v>
      </c>
      <c r="B56" s="9" t="s">
        <v>113</v>
      </c>
      <c r="C56" s="9">
        <v>4</v>
      </c>
      <c r="D56" s="9">
        <v>0</v>
      </c>
      <c r="E56" s="9">
        <v>8</v>
      </c>
      <c r="F56" s="9">
        <v>12</v>
      </c>
      <c r="H56" s="10">
        <v>91</v>
      </c>
      <c r="I56" s="10">
        <v>0</v>
      </c>
      <c r="J56" s="10">
        <v>112.57</v>
      </c>
      <c r="K56" s="10">
        <v>104.73</v>
      </c>
      <c r="M56" s="10">
        <v>136.15525</v>
      </c>
      <c r="N56" s="10">
        <v>181.8</v>
      </c>
      <c r="O56" s="10">
        <v>161.51344</v>
      </c>
      <c r="Q56" s="10">
        <v>1572.68</v>
      </c>
      <c r="R56" s="10">
        <v>1505.36</v>
      </c>
      <c r="S56" s="10">
        <v>1535.28</v>
      </c>
    </row>
    <row r="57" spans="1:19" x14ac:dyDescent="0.2">
      <c r="A57" s="9" t="s">
        <v>114</v>
      </c>
      <c r="B57" s="9" t="s">
        <v>115</v>
      </c>
      <c r="C57" s="9">
        <v>12</v>
      </c>
      <c r="D57" s="9">
        <v>0</v>
      </c>
      <c r="E57" s="9">
        <v>15</v>
      </c>
      <c r="F57" s="9">
        <v>27</v>
      </c>
      <c r="H57" s="10">
        <v>103.42</v>
      </c>
      <c r="I57" s="10">
        <v>0</v>
      </c>
      <c r="J57" s="10">
        <v>85.71</v>
      </c>
      <c r="K57" s="10">
        <v>93.88</v>
      </c>
      <c r="M57" s="10">
        <v>143.03358</v>
      </c>
      <c r="N57" s="10">
        <v>121.69427</v>
      </c>
      <c r="O57" s="10">
        <v>131.54318000000001</v>
      </c>
      <c r="Q57" s="10">
        <v>1479.24</v>
      </c>
      <c r="R57" s="10">
        <v>1435.85</v>
      </c>
      <c r="S57" s="10">
        <v>1455.88</v>
      </c>
    </row>
    <row r="58" spans="1:19" x14ac:dyDescent="0.2">
      <c r="A58" s="9" t="s">
        <v>116</v>
      </c>
      <c r="B58" s="9" t="s">
        <v>117</v>
      </c>
      <c r="C58" s="9">
        <v>4</v>
      </c>
      <c r="D58" s="9">
        <v>0</v>
      </c>
      <c r="E58" s="9">
        <v>107</v>
      </c>
      <c r="F58" s="9">
        <v>111</v>
      </c>
      <c r="H58" s="10">
        <v>85</v>
      </c>
      <c r="I58" s="10">
        <v>0</v>
      </c>
      <c r="J58" s="10">
        <v>111.36</v>
      </c>
      <c r="K58" s="10">
        <v>110.56</v>
      </c>
      <c r="M58" s="10">
        <v>222.88408999999999</v>
      </c>
      <c r="N58" s="10">
        <v>296.88544999999999</v>
      </c>
      <c r="O58" s="10">
        <v>294.39102000000003</v>
      </c>
      <c r="Q58" s="10">
        <v>2513.9699999999998</v>
      </c>
      <c r="R58" s="10">
        <v>2530.46</v>
      </c>
      <c r="S58" s="10">
        <v>2529.9</v>
      </c>
    </row>
    <row r="59" spans="1:19" x14ac:dyDescent="0.2">
      <c r="A59" s="9" t="s">
        <v>118</v>
      </c>
      <c r="B59" s="9" t="s">
        <v>119</v>
      </c>
      <c r="C59" s="9">
        <v>3</v>
      </c>
      <c r="D59" s="9">
        <v>0</v>
      </c>
      <c r="E59" s="9">
        <v>32</v>
      </c>
      <c r="F59" s="9">
        <v>35</v>
      </c>
      <c r="H59" s="10">
        <v>163</v>
      </c>
      <c r="I59" s="10">
        <v>0</v>
      </c>
      <c r="J59" s="10">
        <v>158.93</v>
      </c>
      <c r="K59" s="10">
        <v>159.21</v>
      </c>
      <c r="M59" s="10">
        <v>305</v>
      </c>
      <c r="N59" s="10">
        <v>227.78889000000001</v>
      </c>
      <c r="O59" s="10">
        <v>233.11378999999999</v>
      </c>
      <c r="Q59" s="10">
        <v>1951.27</v>
      </c>
      <c r="R59" s="10">
        <v>1588.33</v>
      </c>
      <c r="S59" s="10">
        <v>1613.36</v>
      </c>
    </row>
    <row r="60" spans="1:19" x14ac:dyDescent="0.2">
      <c r="A60" s="9" t="s">
        <v>120</v>
      </c>
      <c r="B60" s="9" t="s">
        <v>121</v>
      </c>
      <c r="C60" s="9">
        <v>2</v>
      </c>
      <c r="D60" s="9">
        <v>0</v>
      </c>
      <c r="E60" s="9">
        <v>8</v>
      </c>
      <c r="F60" s="9">
        <v>10</v>
      </c>
      <c r="H60" s="10">
        <v>214</v>
      </c>
      <c r="I60" s="10">
        <v>0</v>
      </c>
      <c r="J60" s="10">
        <v>133.5</v>
      </c>
      <c r="K60" s="10">
        <v>160.33000000000001</v>
      </c>
      <c r="M60" s="10">
        <v>0</v>
      </c>
      <c r="N60" s="10">
        <v>140.66667000000001</v>
      </c>
      <c r="O60" s="10">
        <v>140.19999999999999</v>
      </c>
      <c r="Q60" s="10">
        <v>0</v>
      </c>
      <c r="R60" s="10">
        <v>780.63</v>
      </c>
      <c r="S60" s="10">
        <v>679.38</v>
      </c>
    </row>
    <row r="61" spans="1:19" x14ac:dyDescent="0.2">
      <c r="A61" s="9" t="s">
        <v>122</v>
      </c>
      <c r="B61" s="9" t="s">
        <v>123</v>
      </c>
      <c r="C61" s="9">
        <v>4</v>
      </c>
      <c r="D61" s="9">
        <v>0</v>
      </c>
      <c r="E61" s="9">
        <v>18</v>
      </c>
      <c r="F61" s="9">
        <v>22</v>
      </c>
      <c r="H61" s="10">
        <v>153.5</v>
      </c>
      <c r="I61" s="10">
        <v>0</v>
      </c>
      <c r="J61" s="10">
        <v>122</v>
      </c>
      <c r="K61" s="10">
        <v>128</v>
      </c>
      <c r="M61" s="10">
        <v>102.5</v>
      </c>
      <c r="N61" s="10">
        <v>77.02355</v>
      </c>
      <c r="O61" s="10">
        <v>82.118839999999992</v>
      </c>
      <c r="Q61" s="10">
        <v>599.05999999999995</v>
      </c>
      <c r="R61" s="10">
        <v>688.02</v>
      </c>
      <c r="S61" s="10">
        <v>670.23</v>
      </c>
    </row>
    <row r="62" spans="1:19" x14ac:dyDescent="0.2">
      <c r="A62" s="9" t="s">
        <v>124</v>
      </c>
      <c r="B62" s="9" t="s">
        <v>125</v>
      </c>
      <c r="C62" s="9">
        <v>9</v>
      </c>
      <c r="D62" s="9">
        <v>0</v>
      </c>
      <c r="E62" s="9">
        <v>37</v>
      </c>
      <c r="F62" s="9">
        <v>46</v>
      </c>
      <c r="H62" s="10">
        <v>171.67</v>
      </c>
      <c r="I62" s="10">
        <v>0</v>
      </c>
      <c r="J62" s="10">
        <v>163.78</v>
      </c>
      <c r="K62" s="10">
        <v>165.75</v>
      </c>
      <c r="M62" s="10">
        <v>193.27778000000001</v>
      </c>
      <c r="N62" s="10">
        <v>224.178</v>
      </c>
      <c r="O62" s="10">
        <v>216.23223000000002</v>
      </c>
      <c r="Q62" s="10">
        <v>1326.95</v>
      </c>
      <c r="R62" s="10">
        <v>1533.52</v>
      </c>
      <c r="S62" s="10">
        <v>1480.4</v>
      </c>
    </row>
    <row r="63" spans="1:19" x14ac:dyDescent="0.2">
      <c r="A63" s="9" t="s">
        <v>126</v>
      </c>
      <c r="B63" s="9" t="s">
        <v>127</v>
      </c>
      <c r="C63" s="9">
        <v>2</v>
      </c>
      <c r="D63" s="9">
        <v>0</v>
      </c>
      <c r="E63" s="9">
        <v>124</v>
      </c>
      <c r="F63" s="9">
        <v>126</v>
      </c>
      <c r="H63" s="10">
        <v>79.5</v>
      </c>
      <c r="I63" s="10">
        <v>0</v>
      </c>
      <c r="J63" s="10">
        <v>63.77</v>
      </c>
      <c r="K63" s="10">
        <v>64.05</v>
      </c>
      <c r="M63" s="10">
        <v>0</v>
      </c>
      <c r="N63" s="10">
        <v>146.71418</v>
      </c>
      <c r="O63" s="10">
        <v>151.28792000000001</v>
      </c>
      <c r="Q63" s="10">
        <v>0</v>
      </c>
      <c r="R63" s="10">
        <v>2408.15</v>
      </c>
      <c r="S63" s="10">
        <v>2447.56</v>
      </c>
    </row>
    <row r="64" spans="1:19" x14ac:dyDescent="0.2">
      <c r="A64" s="9" t="s">
        <v>128</v>
      </c>
      <c r="B64" s="9" t="s">
        <v>129</v>
      </c>
      <c r="C64" s="9">
        <v>3</v>
      </c>
      <c r="D64" s="9">
        <v>0</v>
      </c>
      <c r="E64" s="9">
        <v>80</v>
      </c>
      <c r="F64" s="9">
        <v>83</v>
      </c>
      <c r="H64" s="10">
        <v>93</v>
      </c>
      <c r="I64" s="10">
        <v>0</v>
      </c>
      <c r="J64" s="10">
        <v>80.28</v>
      </c>
      <c r="K64" s="10">
        <v>80.78</v>
      </c>
      <c r="M64" s="10">
        <v>144.27457000000001</v>
      </c>
      <c r="N64" s="10">
        <v>131.98846</v>
      </c>
      <c r="O64" s="10">
        <v>132.46714</v>
      </c>
      <c r="Q64" s="10">
        <v>1577.41</v>
      </c>
      <c r="R64" s="10">
        <v>1726.78</v>
      </c>
      <c r="S64" s="10">
        <v>1720.96</v>
      </c>
    </row>
    <row r="65" spans="1:19" x14ac:dyDescent="0.2">
      <c r="A65" s="9" t="s">
        <v>130</v>
      </c>
      <c r="B65" s="9" t="s">
        <v>131</v>
      </c>
      <c r="C65" s="9">
        <v>16</v>
      </c>
      <c r="D65" s="9">
        <v>0</v>
      </c>
      <c r="E65" s="9">
        <v>87</v>
      </c>
      <c r="F65" s="9">
        <v>103</v>
      </c>
      <c r="H65" s="10">
        <v>73</v>
      </c>
      <c r="I65" s="10">
        <v>0</v>
      </c>
      <c r="J65" s="10">
        <v>80.8</v>
      </c>
      <c r="K65" s="10">
        <v>80.180000000000007</v>
      </c>
      <c r="M65" s="10">
        <v>95.785710000000009</v>
      </c>
      <c r="N65" s="10">
        <v>110.66188000000001</v>
      </c>
      <c r="O65" s="10">
        <v>109.39196000000001</v>
      </c>
      <c r="Q65" s="10">
        <v>1352.51</v>
      </c>
      <c r="R65" s="10">
        <v>1523.13</v>
      </c>
      <c r="S65" s="10">
        <v>1508.56</v>
      </c>
    </row>
    <row r="66" spans="1:19" x14ac:dyDescent="0.2">
      <c r="A66" s="9" t="s">
        <v>132</v>
      </c>
      <c r="B66" s="9" t="s">
        <v>133</v>
      </c>
      <c r="C66" s="9">
        <v>9</v>
      </c>
      <c r="D66" s="9">
        <v>0</v>
      </c>
      <c r="E66" s="9">
        <v>44</v>
      </c>
      <c r="F66" s="9">
        <v>53</v>
      </c>
      <c r="H66" s="10">
        <v>88.5</v>
      </c>
      <c r="I66" s="10">
        <v>0</v>
      </c>
      <c r="J66" s="10">
        <v>70.680000000000007</v>
      </c>
      <c r="K66" s="10">
        <v>73.11</v>
      </c>
      <c r="M66" s="10">
        <v>68.583330000000004</v>
      </c>
      <c r="N66" s="10">
        <v>59.29815</v>
      </c>
      <c r="O66" s="10">
        <v>60.564309999999999</v>
      </c>
      <c r="Q66" s="10">
        <v>746.33</v>
      </c>
      <c r="R66" s="10">
        <v>825.86</v>
      </c>
      <c r="S66" s="10">
        <v>815.01</v>
      </c>
    </row>
    <row r="67" spans="1:19" x14ac:dyDescent="0.2">
      <c r="A67" s="9" t="s">
        <v>134</v>
      </c>
      <c r="B67" s="9" t="s">
        <v>135</v>
      </c>
      <c r="C67" s="9">
        <v>2</v>
      </c>
      <c r="D67" s="9">
        <v>0</v>
      </c>
      <c r="E67" s="9">
        <v>21</v>
      </c>
      <c r="F67" s="9">
        <v>23</v>
      </c>
      <c r="H67" s="10">
        <v>253</v>
      </c>
      <c r="I67" s="10">
        <v>0</v>
      </c>
      <c r="J67" s="10">
        <v>184.8</v>
      </c>
      <c r="K67" s="10">
        <v>191</v>
      </c>
      <c r="M67" s="10">
        <v>0</v>
      </c>
      <c r="N67" s="10">
        <v>202.02513000000002</v>
      </c>
      <c r="O67" s="10">
        <v>194.76617000000002</v>
      </c>
      <c r="Q67" s="10">
        <v>0</v>
      </c>
      <c r="R67" s="10">
        <v>1263.75</v>
      </c>
      <c r="S67" s="10">
        <v>1192.76</v>
      </c>
    </row>
    <row r="68" spans="1:19" x14ac:dyDescent="0.2">
      <c r="A68" s="9" t="s">
        <v>136</v>
      </c>
      <c r="B68" s="9" t="s">
        <v>137</v>
      </c>
      <c r="C68" s="9">
        <v>7</v>
      </c>
      <c r="D68" s="9">
        <v>0</v>
      </c>
      <c r="E68" s="9">
        <v>89</v>
      </c>
      <c r="F68" s="9">
        <v>96</v>
      </c>
      <c r="H68" s="10">
        <v>71.709999999999994</v>
      </c>
      <c r="I68" s="10">
        <v>0</v>
      </c>
      <c r="J68" s="10">
        <v>90.2</v>
      </c>
      <c r="K68" s="10">
        <v>88.75</v>
      </c>
      <c r="M68" s="10">
        <v>131.42857000000001</v>
      </c>
      <c r="N68" s="10">
        <v>175.27585999999999</v>
      </c>
      <c r="O68" s="10">
        <v>171.62192000000002</v>
      </c>
      <c r="Q68" s="10">
        <v>1862.36</v>
      </c>
      <c r="R68" s="10">
        <v>2042.19</v>
      </c>
      <c r="S68" s="10">
        <v>2027.2</v>
      </c>
    </row>
    <row r="69" spans="1:19" x14ac:dyDescent="0.2">
      <c r="A69" s="9" t="s">
        <v>138</v>
      </c>
      <c r="B69" s="9" t="s">
        <v>139</v>
      </c>
      <c r="C69" s="9">
        <v>0</v>
      </c>
      <c r="D69" s="9">
        <v>0</v>
      </c>
      <c r="E69" s="9">
        <v>65</v>
      </c>
      <c r="F69" s="9">
        <v>65</v>
      </c>
      <c r="H69" s="10">
        <v>0</v>
      </c>
      <c r="I69" s="10">
        <v>0</v>
      </c>
      <c r="J69" s="10">
        <v>97.68</v>
      </c>
      <c r="K69" s="10">
        <v>97.68</v>
      </c>
      <c r="M69" s="10">
        <v>0</v>
      </c>
      <c r="N69" s="10">
        <v>140.81424999999999</v>
      </c>
      <c r="O69" s="10">
        <v>140.81424999999999</v>
      </c>
      <c r="Q69" s="10">
        <v>0</v>
      </c>
      <c r="R69" s="10">
        <v>1577.14</v>
      </c>
      <c r="S69" s="10">
        <v>1577.14</v>
      </c>
    </row>
    <row r="70" spans="1:19" x14ac:dyDescent="0.2">
      <c r="A70" s="9" t="s">
        <v>140</v>
      </c>
      <c r="B70" s="9" t="s">
        <v>141</v>
      </c>
      <c r="C70" s="9">
        <v>18</v>
      </c>
      <c r="D70" s="9">
        <v>1</v>
      </c>
      <c r="E70" s="9">
        <v>72</v>
      </c>
      <c r="F70" s="9">
        <v>91</v>
      </c>
      <c r="H70" s="10">
        <v>85.65</v>
      </c>
      <c r="I70" s="10">
        <v>84</v>
      </c>
      <c r="J70" s="10">
        <v>86.66</v>
      </c>
      <c r="K70" s="10">
        <v>86.42</v>
      </c>
      <c r="M70" s="10">
        <v>343.08564000000001</v>
      </c>
      <c r="N70" s="10">
        <v>233.63214000000002</v>
      </c>
      <c r="O70" s="10">
        <v>257.79720000000003</v>
      </c>
      <c r="Q70" s="10">
        <v>4140.6400000000003</v>
      </c>
      <c r="R70" s="10">
        <v>2804.53</v>
      </c>
      <c r="S70" s="10">
        <v>3099.52</v>
      </c>
    </row>
    <row r="71" spans="1:19" x14ac:dyDescent="0.2">
      <c r="A71" s="9" t="s">
        <v>142</v>
      </c>
      <c r="B71" s="9" t="s">
        <v>143</v>
      </c>
      <c r="C71" s="9">
        <v>5</v>
      </c>
      <c r="D71" s="9">
        <v>0</v>
      </c>
      <c r="E71" s="9">
        <v>108</v>
      </c>
      <c r="F71" s="9">
        <v>113</v>
      </c>
      <c r="H71" s="10">
        <v>135.80000000000001</v>
      </c>
      <c r="I71" s="10">
        <v>0</v>
      </c>
      <c r="J71" s="10">
        <v>87.91</v>
      </c>
      <c r="K71" s="10">
        <v>90.46</v>
      </c>
      <c r="M71" s="10">
        <v>163.40450000000001</v>
      </c>
      <c r="N71" s="10">
        <v>92.169250000000005</v>
      </c>
      <c r="O71" s="10">
        <v>96.310829999999996</v>
      </c>
      <c r="Q71" s="10">
        <v>1828.76</v>
      </c>
      <c r="R71" s="10">
        <v>1095.3499999999999</v>
      </c>
      <c r="S71" s="10">
        <v>1137.99</v>
      </c>
    </row>
    <row r="72" spans="1:19" x14ac:dyDescent="0.2">
      <c r="A72" s="9" t="s">
        <v>144</v>
      </c>
      <c r="B72" s="9" t="s">
        <v>145</v>
      </c>
      <c r="C72" s="9">
        <v>18</v>
      </c>
      <c r="D72" s="9">
        <v>0</v>
      </c>
      <c r="E72" s="9">
        <v>33</v>
      </c>
      <c r="F72" s="9">
        <v>51</v>
      </c>
      <c r="H72" s="10">
        <v>102.83</v>
      </c>
      <c r="I72" s="10">
        <v>0</v>
      </c>
      <c r="J72" s="10">
        <v>88.57</v>
      </c>
      <c r="K72" s="10">
        <v>92.64</v>
      </c>
      <c r="M72" s="10">
        <v>198.88238000000001</v>
      </c>
      <c r="N72" s="10">
        <v>199.1343</v>
      </c>
      <c r="O72" s="10">
        <v>199.05871999999999</v>
      </c>
      <c r="Q72" s="10">
        <v>2067.5500000000002</v>
      </c>
      <c r="R72" s="10">
        <v>2283.56</v>
      </c>
      <c r="S72" s="10">
        <v>2218.7600000000002</v>
      </c>
    </row>
    <row r="73" spans="1:19" x14ac:dyDescent="0.2">
      <c r="A73" s="9" t="s">
        <v>146</v>
      </c>
      <c r="B73" s="9" t="s">
        <v>147</v>
      </c>
      <c r="C73" s="9">
        <v>6</v>
      </c>
      <c r="D73" s="9">
        <v>0</v>
      </c>
      <c r="E73" s="9">
        <v>27</v>
      </c>
      <c r="F73" s="9">
        <v>33</v>
      </c>
      <c r="H73" s="10">
        <v>114.33</v>
      </c>
      <c r="I73" s="10">
        <v>0</v>
      </c>
      <c r="J73" s="10">
        <v>129.58000000000001</v>
      </c>
      <c r="K73" s="10">
        <v>126.72</v>
      </c>
      <c r="M73" s="10">
        <v>168.5</v>
      </c>
      <c r="N73" s="10">
        <v>210.43404000000001</v>
      </c>
      <c r="O73" s="10">
        <v>202.57141000000001</v>
      </c>
      <c r="Q73" s="10">
        <v>1631.17</v>
      </c>
      <c r="R73" s="10">
        <v>1797.67</v>
      </c>
      <c r="S73" s="10">
        <v>1766.45</v>
      </c>
    </row>
    <row r="74" spans="1:19" x14ac:dyDescent="0.2">
      <c r="A74" s="9" t="s">
        <v>148</v>
      </c>
      <c r="B74" s="9" t="s">
        <v>149</v>
      </c>
      <c r="C74" s="9">
        <v>15</v>
      </c>
      <c r="D74" s="9">
        <v>0</v>
      </c>
      <c r="E74" s="9">
        <v>116</v>
      </c>
      <c r="F74" s="9">
        <v>131</v>
      </c>
      <c r="H74" s="10">
        <v>120.64</v>
      </c>
      <c r="I74" s="10">
        <v>0</v>
      </c>
      <c r="J74" s="10">
        <v>86.15</v>
      </c>
      <c r="K74" s="10">
        <v>89.95</v>
      </c>
      <c r="M74" s="10">
        <v>456.62232</v>
      </c>
      <c r="N74" s="10">
        <v>261.52525000000003</v>
      </c>
      <c r="O74" s="10">
        <v>284.87020000000001</v>
      </c>
      <c r="Q74" s="10">
        <v>3838.07</v>
      </c>
      <c r="R74" s="10">
        <v>2987.97</v>
      </c>
      <c r="S74" s="10">
        <v>3089.69</v>
      </c>
    </row>
    <row r="75" spans="1:19" x14ac:dyDescent="0.2">
      <c r="A75" s="9" t="s">
        <v>150</v>
      </c>
      <c r="B75" s="9" t="s">
        <v>151</v>
      </c>
      <c r="C75" s="9">
        <v>1</v>
      </c>
      <c r="D75" s="9">
        <v>0</v>
      </c>
      <c r="E75" s="9">
        <v>21</v>
      </c>
      <c r="F75" s="9">
        <v>22</v>
      </c>
      <c r="H75" s="10">
        <v>100</v>
      </c>
      <c r="I75" s="10">
        <v>0</v>
      </c>
      <c r="J75" s="10">
        <v>98.63</v>
      </c>
      <c r="K75" s="10">
        <v>98.7</v>
      </c>
      <c r="M75" s="10">
        <v>0</v>
      </c>
      <c r="N75" s="10">
        <v>130.17766</v>
      </c>
      <c r="O75" s="10">
        <v>130.91878</v>
      </c>
      <c r="Q75" s="10">
        <v>0</v>
      </c>
      <c r="R75" s="10">
        <v>1336.95</v>
      </c>
      <c r="S75" s="10">
        <v>1342.6</v>
      </c>
    </row>
    <row r="76" spans="1:19" x14ac:dyDescent="0.2">
      <c r="A76" s="9" t="s">
        <v>152</v>
      </c>
      <c r="B76" s="9" t="s">
        <v>153</v>
      </c>
      <c r="C76" s="9">
        <v>53</v>
      </c>
      <c r="D76" s="9">
        <v>7</v>
      </c>
      <c r="E76" s="9">
        <v>188</v>
      </c>
      <c r="F76" s="9">
        <v>248</v>
      </c>
      <c r="H76" s="10">
        <v>78.12</v>
      </c>
      <c r="I76" s="10">
        <v>81.25</v>
      </c>
      <c r="J76" s="10">
        <v>86.43</v>
      </c>
      <c r="K76" s="10">
        <v>84.49</v>
      </c>
      <c r="M76" s="10">
        <v>140.70093</v>
      </c>
      <c r="N76" s="10">
        <v>153.70226</v>
      </c>
      <c r="O76" s="10">
        <v>150.45193</v>
      </c>
      <c r="Q76" s="10">
        <v>1689.52</v>
      </c>
      <c r="R76" s="10">
        <v>1823.1</v>
      </c>
      <c r="S76" s="10">
        <v>1789.7</v>
      </c>
    </row>
    <row r="77" spans="1:19" x14ac:dyDescent="0.2">
      <c r="A77" s="9" t="s">
        <v>154</v>
      </c>
      <c r="B77" s="9" t="s">
        <v>155</v>
      </c>
      <c r="C77" s="9">
        <v>29</v>
      </c>
      <c r="D77" s="9">
        <v>2</v>
      </c>
      <c r="E77" s="9">
        <v>170</v>
      </c>
      <c r="F77" s="9">
        <v>201</v>
      </c>
      <c r="H77" s="10">
        <v>101.76</v>
      </c>
      <c r="I77" s="10">
        <v>73</v>
      </c>
      <c r="J77" s="10">
        <v>93.35</v>
      </c>
      <c r="K77" s="10">
        <v>94.53</v>
      </c>
      <c r="M77" s="10">
        <v>214.77515</v>
      </c>
      <c r="N77" s="10">
        <v>153.27919</v>
      </c>
      <c r="O77" s="10">
        <v>164.42532999999997</v>
      </c>
      <c r="Q77" s="10">
        <v>2183.42</v>
      </c>
      <c r="R77" s="10">
        <v>1792.43</v>
      </c>
      <c r="S77" s="10">
        <v>1863.3</v>
      </c>
    </row>
    <row r="78" spans="1:19" x14ac:dyDescent="0.2">
      <c r="A78" s="9" t="s">
        <v>156</v>
      </c>
      <c r="B78" s="9" t="s">
        <v>157</v>
      </c>
      <c r="C78" s="9">
        <v>0</v>
      </c>
      <c r="D78" s="9">
        <v>0</v>
      </c>
      <c r="E78" s="9">
        <v>9</v>
      </c>
      <c r="F78" s="9">
        <v>9</v>
      </c>
      <c r="H78" s="10">
        <v>0</v>
      </c>
      <c r="I78" s="10">
        <v>0</v>
      </c>
      <c r="J78" s="10">
        <v>124.63</v>
      </c>
      <c r="K78" s="10">
        <v>124.63</v>
      </c>
      <c r="M78" s="10">
        <v>0</v>
      </c>
      <c r="N78" s="10">
        <v>132</v>
      </c>
      <c r="O78" s="10">
        <v>132</v>
      </c>
      <c r="Q78" s="10">
        <v>0</v>
      </c>
      <c r="R78" s="10">
        <v>1130.43</v>
      </c>
      <c r="S78" s="10">
        <v>1130.43</v>
      </c>
    </row>
    <row r="79" spans="1:19" x14ac:dyDescent="0.2">
      <c r="A79" s="9" t="s">
        <v>158</v>
      </c>
      <c r="B79" s="9" t="s">
        <v>159</v>
      </c>
      <c r="C79" s="9">
        <v>128</v>
      </c>
      <c r="D79" s="9">
        <v>7</v>
      </c>
      <c r="E79" s="9">
        <v>551</v>
      </c>
      <c r="F79" s="9">
        <v>686</v>
      </c>
      <c r="H79" s="10">
        <v>98.43</v>
      </c>
      <c r="I79" s="10">
        <v>68.599999999999994</v>
      </c>
      <c r="J79" s="10">
        <v>58.37</v>
      </c>
      <c r="K79" s="10">
        <v>66.180000000000007</v>
      </c>
      <c r="M79" s="10">
        <v>230.97826000000001</v>
      </c>
      <c r="N79" s="10">
        <v>131.00297</v>
      </c>
      <c r="O79" s="10">
        <v>152.69743</v>
      </c>
      <c r="Q79" s="10">
        <v>2311.56</v>
      </c>
      <c r="R79" s="10">
        <v>2312.19</v>
      </c>
      <c r="S79" s="10">
        <v>2312.0500000000002</v>
      </c>
    </row>
    <row r="80" spans="1:19" x14ac:dyDescent="0.2">
      <c r="A80" s="9" t="s">
        <v>160</v>
      </c>
      <c r="B80" s="9" t="s">
        <v>161</v>
      </c>
      <c r="C80" s="9">
        <v>32</v>
      </c>
      <c r="D80" s="9">
        <v>1</v>
      </c>
      <c r="E80" s="9">
        <v>84</v>
      </c>
      <c r="F80" s="9">
        <v>117</v>
      </c>
      <c r="H80" s="10">
        <v>122.93</v>
      </c>
      <c r="I80" s="10">
        <v>104</v>
      </c>
      <c r="J80" s="10">
        <v>99.15</v>
      </c>
      <c r="K80" s="10">
        <v>106.48</v>
      </c>
      <c r="M80" s="10">
        <v>228.64346</v>
      </c>
      <c r="N80" s="10">
        <v>110.28072999999999</v>
      </c>
      <c r="O80" s="10">
        <v>149.73497</v>
      </c>
      <c r="Q80" s="10">
        <v>1886.33</v>
      </c>
      <c r="R80" s="10">
        <v>1162.22</v>
      </c>
      <c r="S80" s="10">
        <v>1403.59</v>
      </c>
    </row>
    <row r="81" spans="1:19" x14ac:dyDescent="0.2">
      <c r="A81" s="9" t="s">
        <v>162</v>
      </c>
      <c r="B81" s="9" t="s">
        <v>163</v>
      </c>
      <c r="C81" s="9">
        <v>2</v>
      </c>
      <c r="D81" s="9">
        <v>1</v>
      </c>
      <c r="E81" s="9">
        <v>22</v>
      </c>
      <c r="F81" s="9">
        <v>25</v>
      </c>
      <c r="H81" s="10">
        <v>59</v>
      </c>
      <c r="I81" s="10">
        <v>64</v>
      </c>
      <c r="J81" s="10">
        <v>80.44</v>
      </c>
      <c r="K81" s="10">
        <v>77.62</v>
      </c>
      <c r="M81" s="10">
        <v>0</v>
      </c>
      <c r="N81" s="10">
        <v>124.14533</v>
      </c>
      <c r="O81" s="10">
        <v>118.89294</v>
      </c>
      <c r="Q81" s="10">
        <v>0</v>
      </c>
      <c r="R81" s="10">
        <v>1619.95</v>
      </c>
      <c r="S81" s="10">
        <v>1589.91</v>
      </c>
    </row>
    <row r="82" spans="1:19" x14ac:dyDescent="0.2">
      <c r="A82" s="9" t="s">
        <v>164</v>
      </c>
      <c r="B82" s="9" t="s">
        <v>165</v>
      </c>
      <c r="C82" s="9">
        <v>4</v>
      </c>
      <c r="D82" s="9">
        <v>1</v>
      </c>
      <c r="E82" s="9">
        <v>15</v>
      </c>
      <c r="F82" s="9">
        <v>20</v>
      </c>
      <c r="H82" s="10">
        <v>104.5</v>
      </c>
      <c r="I82" s="10">
        <v>82</v>
      </c>
      <c r="J82" s="10">
        <v>125.33</v>
      </c>
      <c r="K82" s="10">
        <v>119.66</v>
      </c>
      <c r="M82" s="10">
        <v>154.90199999999999</v>
      </c>
      <c r="N82" s="10">
        <v>114.9375</v>
      </c>
      <c r="O82" s="10">
        <v>120.64671000000001</v>
      </c>
      <c r="Q82" s="10">
        <v>1531.86</v>
      </c>
      <c r="R82" s="10">
        <v>1065.95</v>
      </c>
      <c r="S82" s="10">
        <v>1132.51</v>
      </c>
    </row>
    <row r="83" spans="1:19" x14ac:dyDescent="0.2">
      <c r="A83" s="9" t="s">
        <v>166</v>
      </c>
      <c r="B83" s="9" t="s">
        <v>167</v>
      </c>
      <c r="C83" s="9">
        <v>63</v>
      </c>
      <c r="D83" s="9">
        <v>28</v>
      </c>
      <c r="E83" s="9">
        <v>269</v>
      </c>
      <c r="F83" s="9">
        <v>360</v>
      </c>
      <c r="H83" s="10">
        <v>93.92</v>
      </c>
      <c r="I83" s="10">
        <v>88.56</v>
      </c>
      <c r="J83" s="10">
        <v>85.01</v>
      </c>
      <c r="K83" s="10">
        <v>86.81</v>
      </c>
      <c r="M83" s="10">
        <v>93.398020000000002</v>
      </c>
      <c r="N83" s="10">
        <v>91.724460000000008</v>
      </c>
      <c r="O83" s="10">
        <v>92.124830000000003</v>
      </c>
      <c r="Q83" s="10">
        <v>914.37</v>
      </c>
      <c r="R83" s="10">
        <v>1078.54</v>
      </c>
      <c r="S83" s="10">
        <v>1039.26</v>
      </c>
    </row>
    <row r="84" spans="1:19" x14ac:dyDescent="0.2">
      <c r="A84" s="9" t="s">
        <v>168</v>
      </c>
      <c r="B84" s="9" t="s">
        <v>169</v>
      </c>
      <c r="C84" s="9">
        <v>5</v>
      </c>
      <c r="D84" s="9">
        <v>0</v>
      </c>
      <c r="E84" s="9">
        <v>36</v>
      </c>
      <c r="F84" s="9">
        <v>41</v>
      </c>
      <c r="H84" s="10">
        <v>176.2</v>
      </c>
      <c r="I84" s="10">
        <v>0</v>
      </c>
      <c r="J84" s="10">
        <v>164.69</v>
      </c>
      <c r="K84" s="10">
        <v>166.13</v>
      </c>
      <c r="M84" s="10">
        <v>229</v>
      </c>
      <c r="N84" s="10">
        <v>217.71492000000001</v>
      </c>
      <c r="O84" s="10">
        <v>219.19979999999998</v>
      </c>
      <c r="Q84" s="10">
        <v>1328.3</v>
      </c>
      <c r="R84" s="10">
        <v>1416.51</v>
      </c>
      <c r="S84" s="10">
        <v>1404.9</v>
      </c>
    </row>
    <row r="85" spans="1:19" x14ac:dyDescent="0.2">
      <c r="A85" s="9" t="s">
        <v>170</v>
      </c>
      <c r="B85" s="9" t="s">
        <v>171</v>
      </c>
      <c r="C85" s="9">
        <v>0</v>
      </c>
      <c r="D85" s="9">
        <v>0</v>
      </c>
      <c r="E85" s="9">
        <v>18</v>
      </c>
      <c r="F85" s="9">
        <v>18</v>
      </c>
      <c r="H85" s="10">
        <v>0</v>
      </c>
      <c r="I85" s="10">
        <v>0</v>
      </c>
      <c r="J85" s="10">
        <v>143.35</v>
      </c>
      <c r="K85" s="10">
        <v>143.35</v>
      </c>
      <c r="M85" s="10">
        <v>0</v>
      </c>
      <c r="N85" s="10">
        <v>213.12064999999998</v>
      </c>
      <c r="O85" s="10">
        <v>213.12064999999998</v>
      </c>
      <c r="Q85" s="10">
        <v>0</v>
      </c>
      <c r="R85" s="10">
        <v>1693.73</v>
      </c>
      <c r="S85" s="10">
        <v>1693.73</v>
      </c>
    </row>
    <row r="86" spans="1:19" x14ac:dyDescent="0.2">
      <c r="A86" s="9" t="s">
        <v>172</v>
      </c>
      <c r="B86" s="9" t="s">
        <v>173</v>
      </c>
      <c r="C86" s="9">
        <v>0</v>
      </c>
      <c r="D86" s="9">
        <v>0</v>
      </c>
      <c r="E86" s="9">
        <v>28</v>
      </c>
      <c r="F86" s="9">
        <v>28</v>
      </c>
      <c r="H86" s="10">
        <v>0</v>
      </c>
      <c r="I86" s="10">
        <v>0</v>
      </c>
      <c r="J86" s="10">
        <v>104.38</v>
      </c>
      <c r="K86" s="10">
        <v>104.38</v>
      </c>
      <c r="M86" s="10">
        <v>0</v>
      </c>
      <c r="N86" s="10">
        <v>164.71969000000001</v>
      </c>
      <c r="O86" s="10">
        <v>164.71969000000001</v>
      </c>
      <c r="Q86" s="10">
        <v>0</v>
      </c>
      <c r="R86" s="10">
        <v>1788.55</v>
      </c>
      <c r="S86" s="10">
        <v>1788.55</v>
      </c>
    </row>
    <row r="87" spans="1:19" x14ac:dyDescent="0.2">
      <c r="A87" s="9" t="s">
        <v>174</v>
      </c>
      <c r="B87" s="9" t="s">
        <v>175</v>
      </c>
      <c r="C87" s="9">
        <v>5</v>
      </c>
      <c r="D87" s="9">
        <v>0</v>
      </c>
      <c r="E87" s="9">
        <v>158</v>
      </c>
      <c r="F87" s="9">
        <v>163</v>
      </c>
      <c r="H87" s="10">
        <v>251.8</v>
      </c>
      <c r="I87" s="10">
        <v>0</v>
      </c>
      <c r="J87" s="10">
        <v>76.05</v>
      </c>
      <c r="K87" s="10">
        <v>82.28</v>
      </c>
      <c r="M87" s="10">
        <v>262.99110999999999</v>
      </c>
      <c r="N87" s="10">
        <v>121.92913</v>
      </c>
      <c r="O87" s="10">
        <v>126.96706</v>
      </c>
      <c r="Q87" s="10">
        <v>1360.47</v>
      </c>
      <c r="R87" s="10">
        <v>1716.56</v>
      </c>
      <c r="S87" s="10">
        <v>1703.84</v>
      </c>
    </row>
    <row r="88" spans="1:19" x14ac:dyDescent="0.2">
      <c r="A88" s="9" t="s">
        <v>176</v>
      </c>
      <c r="B88" s="9" t="s">
        <v>177</v>
      </c>
      <c r="C88" s="9">
        <v>1</v>
      </c>
      <c r="D88" s="9">
        <v>0</v>
      </c>
      <c r="E88" s="9">
        <v>26</v>
      </c>
      <c r="F88" s="9">
        <v>27</v>
      </c>
      <c r="H88" s="10">
        <v>82</v>
      </c>
      <c r="I88" s="10">
        <v>0</v>
      </c>
      <c r="J88" s="10">
        <v>111.65</v>
      </c>
      <c r="K88" s="10">
        <v>110</v>
      </c>
      <c r="M88" s="10">
        <v>0</v>
      </c>
      <c r="N88" s="10">
        <v>106.10547</v>
      </c>
      <c r="O88" s="10">
        <v>105.54405</v>
      </c>
      <c r="Q88" s="10">
        <v>0</v>
      </c>
      <c r="R88" s="10">
        <v>1098.24</v>
      </c>
      <c r="S88" s="10">
        <v>1102.27</v>
      </c>
    </row>
    <row r="89" spans="1:19" x14ac:dyDescent="0.2">
      <c r="A89" s="9" t="s">
        <v>178</v>
      </c>
      <c r="B89" s="9" t="s">
        <v>179</v>
      </c>
      <c r="C89" s="9">
        <v>6</v>
      </c>
      <c r="D89" s="9">
        <v>0</v>
      </c>
      <c r="E89" s="9">
        <v>55</v>
      </c>
      <c r="F89" s="9">
        <v>61</v>
      </c>
      <c r="H89" s="10">
        <v>89.2</v>
      </c>
      <c r="I89" s="10">
        <v>0</v>
      </c>
      <c r="J89" s="10">
        <v>89.25</v>
      </c>
      <c r="K89" s="10">
        <v>89.25</v>
      </c>
      <c r="M89" s="10">
        <v>176.4</v>
      </c>
      <c r="N89" s="10">
        <v>128.80058</v>
      </c>
      <c r="O89" s="10">
        <v>133.56052</v>
      </c>
      <c r="Q89" s="10">
        <v>1904.63</v>
      </c>
      <c r="R89" s="10">
        <v>1546.23</v>
      </c>
      <c r="S89" s="10">
        <v>1582.07</v>
      </c>
    </row>
    <row r="90" spans="1:19" x14ac:dyDescent="0.2">
      <c r="A90" s="9" t="s">
        <v>180</v>
      </c>
      <c r="B90" s="9" t="s">
        <v>181</v>
      </c>
      <c r="C90" s="9">
        <v>1</v>
      </c>
      <c r="D90" s="9">
        <v>0</v>
      </c>
      <c r="E90" s="9">
        <v>51</v>
      </c>
      <c r="F90" s="9">
        <v>52</v>
      </c>
      <c r="H90" s="10">
        <v>0</v>
      </c>
      <c r="I90" s="10">
        <v>0</v>
      </c>
      <c r="J90" s="10">
        <v>89.73</v>
      </c>
      <c r="K90" s="10">
        <v>89.73</v>
      </c>
      <c r="M90" s="10">
        <v>0</v>
      </c>
      <c r="N90" s="10">
        <v>76.532839999999993</v>
      </c>
      <c r="O90" s="10">
        <v>76.532839999999993</v>
      </c>
      <c r="Q90" s="10">
        <v>0</v>
      </c>
      <c r="R90" s="10">
        <v>917.48</v>
      </c>
      <c r="S90" s="10">
        <v>917.48</v>
      </c>
    </row>
    <row r="91" spans="1:19" x14ac:dyDescent="0.2">
      <c r="A91" s="9" t="s">
        <v>182</v>
      </c>
      <c r="B91" s="9" t="s">
        <v>183</v>
      </c>
      <c r="C91" s="9">
        <v>87</v>
      </c>
      <c r="D91" s="9">
        <v>5</v>
      </c>
      <c r="E91" s="9">
        <v>172</v>
      </c>
      <c r="F91" s="9">
        <v>264</v>
      </c>
      <c r="H91" s="10">
        <v>79.97</v>
      </c>
      <c r="I91" s="10">
        <v>89.8</v>
      </c>
      <c r="J91" s="10">
        <v>92.92</v>
      </c>
      <c r="K91" s="10">
        <v>88.37</v>
      </c>
      <c r="M91" s="10">
        <v>65.397390000000001</v>
      </c>
      <c r="N91" s="10">
        <v>100.9365</v>
      </c>
      <c r="O91" s="10">
        <v>88.094639999999998</v>
      </c>
      <c r="Q91" s="10">
        <v>790.66</v>
      </c>
      <c r="R91" s="10">
        <v>1070.73</v>
      </c>
      <c r="S91" s="10">
        <v>969.53</v>
      </c>
    </row>
    <row r="92" spans="1:19" x14ac:dyDescent="0.2">
      <c r="A92" s="9" t="s">
        <v>184</v>
      </c>
      <c r="B92" s="9" t="s">
        <v>185</v>
      </c>
      <c r="C92" s="9">
        <v>3</v>
      </c>
      <c r="D92" s="9">
        <v>0</v>
      </c>
      <c r="E92" s="9">
        <v>62</v>
      </c>
      <c r="F92" s="9">
        <v>65</v>
      </c>
      <c r="H92" s="10">
        <v>119.67</v>
      </c>
      <c r="I92" s="10">
        <v>0</v>
      </c>
      <c r="J92" s="10">
        <v>91.89</v>
      </c>
      <c r="K92" s="10">
        <v>93.28</v>
      </c>
      <c r="M92" s="10">
        <v>178.5</v>
      </c>
      <c r="N92" s="10">
        <v>131.15434999999999</v>
      </c>
      <c r="O92" s="10">
        <v>133.52163000000002</v>
      </c>
      <c r="Q92" s="10">
        <v>1496.05</v>
      </c>
      <c r="R92" s="10">
        <v>1468.19</v>
      </c>
      <c r="S92" s="10">
        <v>1469.58</v>
      </c>
    </row>
    <row r="93" spans="1:19" x14ac:dyDescent="0.2">
      <c r="A93" s="9" t="s">
        <v>186</v>
      </c>
      <c r="B93" s="9" t="s">
        <v>187</v>
      </c>
      <c r="C93" s="9">
        <v>102</v>
      </c>
      <c r="D93" s="9">
        <v>0</v>
      </c>
      <c r="E93" s="9">
        <v>43</v>
      </c>
      <c r="F93" s="9">
        <v>145</v>
      </c>
      <c r="H93" s="10">
        <v>69.12</v>
      </c>
      <c r="I93" s="10">
        <v>0</v>
      </c>
      <c r="J93" s="10">
        <v>103.68</v>
      </c>
      <c r="K93" s="10">
        <v>79.239999999999995</v>
      </c>
      <c r="M93" s="10">
        <v>256.24225999999999</v>
      </c>
      <c r="N93" s="10">
        <v>303.60821000000004</v>
      </c>
      <c r="O93" s="10">
        <v>269.87275</v>
      </c>
      <c r="Q93" s="10">
        <v>3731.41</v>
      </c>
      <c r="R93" s="10">
        <v>3153.54</v>
      </c>
      <c r="S93" s="10">
        <v>3565.12</v>
      </c>
    </row>
    <row r="94" spans="1:19" x14ac:dyDescent="0.2">
      <c r="A94" s="9" t="s">
        <v>188</v>
      </c>
      <c r="B94" s="9" t="s">
        <v>189</v>
      </c>
      <c r="C94" s="9">
        <v>2</v>
      </c>
      <c r="D94" s="9">
        <v>0</v>
      </c>
      <c r="E94" s="9">
        <v>17</v>
      </c>
      <c r="F94" s="9">
        <v>19</v>
      </c>
      <c r="H94" s="10">
        <v>103.5</v>
      </c>
      <c r="I94" s="10">
        <v>0</v>
      </c>
      <c r="J94" s="10">
        <v>120.2</v>
      </c>
      <c r="K94" s="10">
        <v>118.24</v>
      </c>
      <c r="M94" s="10">
        <v>0</v>
      </c>
      <c r="N94" s="10">
        <v>147.50011999999998</v>
      </c>
      <c r="O94" s="10">
        <v>145.97068999999999</v>
      </c>
      <c r="Q94" s="10">
        <v>0</v>
      </c>
      <c r="R94" s="10">
        <v>1395.29</v>
      </c>
      <c r="S94" s="10">
        <v>1383.88</v>
      </c>
    </row>
    <row r="95" spans="1:19" x14ac:dyDescent="0.2">
      <c r="A95" s="9" t="s">
        <v>190</v>
      </c>
      <c r="B95" s="9" t="s">
        <v>191</v>
      </c>
      <c r="C95" s="9">
        <v>0</v>
      </c>
      <c r="D95" s="9">
        <v>0</v>
      </c>
      <c r="E95" s="9">
        <v>18</v>
      </c>
      <c r="F95" s="9">
        <v>18</v>
      </c>
      <c r="H95" s="10">
        <v>0</v>
      </c>
      <c r="I95" s="10">
        <v>0</v>
      </c>
      <c r="J95" s="10">
        <v>209.06</v>
      </c>
      <c r="K95" s="10">
        <v>209.06</v>
      </c>
      <c r="M95" s="10">
        <v>0</v>
      </c>
      <c r="N95" s="10">
        <v>471.375</v>
      </c>
      <c r="O95" s="10">
        <v>471.375</v>
      </c>
      <c r="Q95" s="10">
        <v>0</v>
      </c>
      <c r="R95" s="10">
        <v>2602.5</v>
      </c>
      <c r="S95" s="10">
        <v>2602.5</v>
      </c>
    </row>
    <row r="96" spans="1:19" x14ac:dyDescent="0.2">
      <c r="A96" s="9" t="s">
        <v>192</v>
      </c>
      <c r="B96" s="9" t="s">
        <v>193</v>
      </c>
      <c r="C96" s="9">
        <v>97</v>
      </c>
      <c r="D96" s="9">
        <v>0</v>
      </c>
      <c r="E96" s="9">
        <v>386</v>
      </c>
      <c r="F96" s="9">
        <v>483</v>
      </c>
      <c r="H96" s="10">
        <v>101.96</v>
      </c>
      <c r="I96" s="10">
        <v>0</v>
      </c>
      <c r="J96" s="10">
        <v>86.14</v>
      </c>
      <c r="K96" s="10">
        <v>88.1</v>
      </c>
      <c r="M96" s="10">
        <v>209.05530999999999</v>
      </c>
      <c r="N96" s="10">
        <v>173.62452999999999</v>
      </c>
      <c r="O96" s="10">
        <v>178.04210999999998</v>
      </c>
      <c r="Q96" s="10">
        <v>2255.46</v>
      </c>
      <c r="R96" s="10">
        <v>2127</v>
      </c>
      <c r="S96" s="10">
        <v>2143.02</v>
      </c>
    </row>
    <row r="97" spans="1:19" x14ac:dyDescent="0.2">
      <c r="A97" s="9" t="s">
        <v>194</v>
      </c>
      <c r="B97" s="9" t="s">
        <v>195</v>
      </c>
      <c r="C97" s="9">
        <v>7</v>
      </c>
      <c r="D97" s="9">
        <v>0</v>
      </c>
      <c r="E97" s="9">
        <v>13</v>
      </c>
      <c r="F97" s="9">
        <v>20</v>
      </c>
      <c r="H97" s="10">
        <v>123.57</v>
      </c>
      <c r="I97" s="10">
        <v>0</v>
      </c>
      <c r="J97" s="10">
        <v>119.31</v>
      </c>
      <c r="K97" s="10">
        <v>120.8</v>
      </c>
      <c r="M97" s="10">
        <v>163.78570999999999</v>
      </c>
      <c r="N97" s="10">
        <v>114.72794</v>
      </c>
      <c r="O97" s="10">
        <v>131.89815999999999</v>
      </c>
      <c r="Q97" s="10">
        <v>1434.81</v>
      </c>
      <c r="R97" s="10">
        <v>1259.08</v>
      </c>
      <c r="S97" s="10">
        <v>1320.59</v>
      </c>
    </row>
    <row r="98" spans="1:19" x14ac:dyDescent="0.2">
      <c r="A98" s="9" t="s">
        <v>196</v>
      </c>
      <c r="B98" s="9" t="s">
        <v>197</v>
      </c>
      <c r="C98" s="9">
        <v>24</v>
      </c>
      <c r="D98" s="9">
        <v>0</v>
      </c>
      <c r="E98" s="9">
        <v>44</v>
      </c>
      <c r="F98" s="9">
        <v>68</v>
      </c>
      <c r="H98" s="10">
        <v>86.75</v>
      </c>
      <c r="I98" s="10">
        <v>0</v>
      </c>
      <c r="J98" s="10">
        <v>97.02</v>
      </c>
      <c r="K98" s="10">
        <v>93.29</v>
      </c>
      <c r="M98" s="10">
        <v>201.12320000000003</v>
      </c>
      <c r="N98" s="10">
        <v>228.57073</v>
      </c>
      <c r="O98" s="10">
        <v>218.43626</v>
      </c>
      <c r="Q98" s="10">
        <v>2428.75</v>
      </c>
      <c r="R98" s="10">
        <v>2344.96</v>
      </c>
      <c r="S98" s="10">
        <v>2375.9</v>
      </c>
    </row>
    <row r="99" spans="1:19" x14ac:dyDescent="0.2">
      <c r="A99" s="9" t="s">
        <v>198</v>
      </c>
      <c r="B99" s="9" t="s">
        <v>199</v>
      </c>
      <c r="C99" s="9">
        <v>3</v>
      </c>
      <c r="D99" s="9">
        <v>0</v>
      </c>
      <c r="E99" s="9">
        <v>38</v>
      </c>
      <c r="F99" s="9">
        <v>41</v>
      </c>
      <c r="H99" s="10">
        <v>90.67</v>
      </c>
      <c r="I99" s="10">
        <v>0</v>
      </c>
      <c r="J99" s="10">
        <v>87.85</v>
      </c>
      <c r="K99" s="10">
        <v>88.08</v>
      </c>
      <c r="M99" s="10">
        <v>43.333330000000004</v>
      </c>
      <c r="N99" s="10">
        <v>67.697759999999988</v>
      </c>
      <c r="O99" s="10">
        <v>65.413589999999999</v>
      </c>
      <c r="Q99" s="10">
        <v>478.96</v>
      </c>
      <c r="R99" s="10">
        <v>825.3</v>
      </c>
      <c r="S99" s="10">
        <v>792.83</v>
      </c>
    </row>
    <row r="100" spans="1:19" x14ac:dyDescent="0.2">
      <c r="A100" s="9" t="s">
        <v>200</v>
      </c>
      <c r="B100" s="9" t="s">
        <v>201</v>
      </c>
      <c r="C100" s="9">
        <v>9</v>
      </c>
      <c r="D100" s="9">
        <v>2</v>
      </c>
      <c r="E100" s="9">
        <v>90</v>
      </c>
      <c r="F100" s="9">
        <v>101</v>
      </c>
      <c r="H100" s="10">
        <v>77.25</v>
      </c>
      <c r="I100" s="10">
        <v>92</v>
      </c>
      <c r="J100" s="10">
        <v>86.11</v>
      </c>
      <c r="K100" s="10">
        <v>85.47</v>
      </c>
      <c r="M100" s="10">
        <v>115.2</v>
      </c>
      <c r="N100" s="10">
        <v>143.36123999999998</v>
      </c>
      <c r="O100" s="10">
        <v>140.6138</v>
      </c>
      <c r="Q100" s="10">
        <v>1517.1</v>
      </c>
      <c r="R100" s="10">
        <v>1764.59</v>
      </c>
      <c r="S100" s="10">
        <v>1740.44</v>
      </c>
    </row>
    <row r="101" spans="1:19" x14ac:dyDescent="0.2">
      <c r="A101" s="9" t="s">
        <v>202</v>
      </c>
      <c r="B101" s="9" t="s">
        <v>203</v>
      </c>
      <c r="C101" s="9">
        <v>0</v>
      </c>
      <c r="D101" s="9">
        <v>0</v>
      </c>
      <c r="E101" s="9">
        <v>20</v>
      </c>
      <c r="F101" s="9">
        <v>20</v>
      </c>
      <c r="H101" s="10">
        <v>0</v>
      </c>
      <c r="I101" s="10">
        <v>0</v>
      </c>
      <c r="J101" s="10">
        <v>86.08</v>
      </c>
      <c r="K101" s="10">
        <v>86.08</v>
      </c>
      <c r="M101" s="10">
        <v>0</v>
      </c>
      <c r="N101" s="10">
        <v>113.53333000000001</v>
      </c>
      <c r="O101" s="10">
        <v>113.53333000000001</v>
      </c>
      <c r="Q101" s="10">
        <v>0</v>
      </c>
      <c r="R101" s="10">
        <v>1303.3699999999999</v>
      </c>
      <c r="S101" s="10">
        <v>1303.3699999999999</v>
      </c>
    </row>
    <row r="102" spans="1:19" x14ac:dyDescent="0.2">
      <c r="A102" s="9" t="s">
        <v>204</v>
      </c>
      <c r="B102" s="9" t="s">
        <v>205</v>
      </c>
      <c r="C102" s="9">
        <v>23</v>
      </c>
      <c r="D102" s="9">
        <v>0</v>
      </c>
      <c r="E102" s="9">
        <v>78</v>
      </c>
      <c r="F102" s="9">
        <v>101</v>
      </c>
      <c r="H102" s="10">
        <v>83.05</v>
      </c>
      <c r="I102" s="10">
        <v>0</v>
      </c>
      <c r="J102" s="10">
        <v>77.39</v>
      </c>
      <c r="K102" s="10">
        <v>78.58</v>
      </c>
      <c r="M102" s="10">
        <v>161.95589000000001</v>
      </c>
      <c r="N102" s="10">
        <v>134.85001</v>
      </c>
      <c r="O102" s="10">
        <v>140.83851999999999</v>
      </c>
      <c r="Q102" s="10">
        <v>1999.75</v>
      </c>
      <c r="R102" s="10">
        <v>1706.2</v>
      </c>
      <c r="S102" s="10">
        <v>1771.05</v>
      </c>
    </row>
    <row r="103" spans="1:19" x14ac:dyDescent="0.2">
      <c r="A103" s="9" t="s">
        <v>206</v>
      </c>
      <c r="B103" s="9" t="s">
        <v>207</v>
      </c>
      <c r="C103" s="9">
        <v>3</v>
      </c>
      <c r="D103" s="9">
        <v>0</v>
      </c>
      <c r="E103" s="9">
        <v>16</v>
      </c>
      <c r="F103" s="9">
        <v>19</v>
      </c>
      <c r="H103" s="10">
        <v>179.33</v>
      </c>
      <c r="I103" s="10">
        <v>0</v>
      </c>
      <c r="J103" s="10">
        <v>142.13</v>
      </c>
      <c r="K103" s="10">
        <v>148.33000000000001</v>
      </c>
      <c r="M103" s="10">
        <v>348.66699999999997</v>
      </c>
      <c r="N103" s="10">
        <v>372.65809999999999</v>
      </c>
      <c r="O103" s="10">
        <v>368.42437999999999</v>
      </c>
      <c r="Q103" s="10">
        <v>1435.83</v>
      </c>
      <c r="R103" s="10">
        <v>2641.98</v>
      </c>
      <c r="S103" s="10">
        <v>2429.13</v>
      </c>
    </row>
    <row r="104" spans="1:19" x14ac:dyDescent="0.2">
      <c r="A104" s="9" t="s">
        <v>208</v>
      </c>
      <c r="B104" s="9" t="s">
        <v>209</v>
      </c>
      <c r="C104" s="9">
        <v>2</v>
      </c>
      <c r="D104" s="9">
        <v>0</v>
      </c>
      <c r="E104" s="9">
        <v>11</v>
      </c>
      <c r="F104" s="9">
        <v>13</v>
      </c>
      <c r="H104" s="10">
        <v>80.5</v>
      </c>
      <c r="I104" s="10">
        <v>0</v>
      </c>
      <c r="J104" s="10">
        <v>73.88</v>
      </c>
      <c r="K104" s="10">
        <v>75.2</v>
      </c>
      <c r="M104" s="10">
        <v>0</v>
      </c>
      <c r="N104" s="10">
        <v>145.85</v>
      </c>
      <c r="O104" s="10">
        <v>140.18</v>
      </c>
      <c r="Q104" s="10">
        <v>0</v>
      </c>
      <c r="R104" s="10">
        <v>1992.49</v>
      </c>
      <c r="S104" s="10">
        <v>1907.67</v>
      </c>
    </row>
    <row r="105" spans="1:19" x14ac:dyDescent="0.2">
      <c r="A105" s="9" t="s">
        <v>210</v>
      </c>
      <c r="B105" s="9" t="s">
        <v>211</v>
      </c>
      <c r="C105" s="9">
        <v>8</v>
      </c>
      <c r="D105" s="9">
        <v>0</v>
      </c>
      <c r="E105" s="9">
        <v>30</v>
      </c>
      <c r="F105" s="9">
        <v>38</v>
      </c>
      <c r="H105" s="10">
        <v>82.4</v>
      </c>
      <c r="I105" s="10">
        <v>0</v>
      </c>
      <c r="J105" s="10">
        <v>84.75</v>
      </c>
      <c r="K105" s="10">
        <v>84.34</v>
      </c>
      <c r="M105" s="10">
        <v>105.6</v>
      </c>
      <c r="N105" s="10">
        <v>193.07151999999999</v>
      </c>
      <c r="O105" s="10">
        <v>176.25006999999999</v>
      </c>
      <c r="Q105" s="10">
        <v>1323.24</v>
      </c>
      <c r="R105" s="10">
        <v>2222.69</v>
      </c>
      <c r="S105" s="10">
        <v>2049.7199999999998</v>
      </c>
    </row>
    <row r="106" spans="1:19" x14ac:dyDescent="0.2">
      <c r="A106" s="9" t="s">
        <v>212</v>
      </c>
      <c r="B106" s="9" t="s">
        <v>213</v>
      </c>
      <c r="C106" s="9">
        <v>0</v>
      </c>
      <c r="D106" s="9">
        <v>0</v>
      </c>
      <c r="E106" s="9">
        <v>132</v>
      </c>
      <c r="F106" s="9">
        <v>132</v>
      </c>
      <c r="H106" s="10">
        <v>0</v>
      </c>
      <c r="I106" s="10">
        <v>0</v>
      </c>
      <c r="J106" s="10">
        <v>99.12</v>
      </c>
      <c r="K106" s="10">
        <v>99.12</v>
      </c>
      <c r="M106" s="10">
        <v>0</v>
      </c>
      <c r="N106" s="10">
        <v>140.01439000000002</v>
      </c>
      <c r="O106" s="10">
        <v>140.01439000000002</v>
      </c>
      <c r="Q106" s="10">
        <v>0</v>
      </c>
      <c r="R106" s="10">
        <v>1520.63</v>
      </c>
      <c r="S106" s="10">
        <v>1520.63</v>
      </c>
    </row>
    <row r="107" spans="1:19" x14ac:dyDescent="0.2">
      <c r="A107" s="9" t="s">
        <v>214</v>
      </c>
      <c r="B107" s="9" t="s">
        <v>215</v>
      </c>
      <c r="C107" s="9">
        <v>1</v>
      </c>
      <c r="D107" s="9">
        <v>0</v>
      </c>
      <c r="E107" s="9">
        <v>10</v>
      </c>
      <c r="F107" s="9">
        <v>11</v>
      </c>
      <c r="H107" s="10">
        <v>37</v>
      </c>
      <c r="I107" s="10">
        <v>0</v>
      </c>
      <c r="J107" s="10">
        <v>142</v>
      </c>
      <c r="K107" s="10">
        <v>128.87</v>
      </c>
      <c r="M107" s="10">
        <v>0</v>
      </c>
      <c r="N107" s="10">
        <v>75.737570000000005</v>
      </c>
      <c r="O107" s="10">
        <v>69.52037</v>
      </c>
      <c r="Q107" s="10">
        <v>0</v>
      </c>
      <c r="R107" s="10">
        <v>636.79999999999995</v>
      </c>
      <c r="S107" s="10">
        <v>645.04</v>
      </c>
    </row>
    <row r="108" spans="1:19" x14ac:dyDescent="0.2">
      <c r="A108" s="9" t="s">
        <v>216</v>
      </c>
      <c r="B108" s="9" t="s">
        <v>217</v>
      </c>
      <c r="C108" s="9">
        <v>3</v>
      </c>
      <c r="D108" s="9">
        <v>0</v>
      </c>
      <c r="E108" s="9">
        <v>3</v>
      </c>
      <c r="F108" s="9">
        <v>6</v>
      </c>
      <c r="H108" s="10">
        <v>83.67</v>
      </c>
      <c r="I108" s="10">
        <v>0</v>
      </c>
      <c r="J108" s="10">
        <v>85.33</v>
      </c>
      <c r="K108" s="10">
        <v>84.5</v>
      </c>
      <c r="M108" s="10">
        <v>96.333330000000004</v>
      </c>
      <c r="N108" s="10">
        <v>121.86667</v>
      </c>
      <c r="O108" s="10">
        <v>109.1</v>
      </c>
      <c r="Q108" s="10">
        <v>1212.04</v>
      </c>
      <c r="R108" s="10">
        <v>1563.16</v>
      </c>
      <c r="S108" s="10">
        <v>1387.6</v>
      </c>
    </row>
    <row r="109" spans="1:19" x14ac:dyDescent="0.2">
      <c r="A109" s="9" t="s">
        <v>218</v>
      </c>
      <c r="B109" s="9" t="s">
        <v>219</v>
      </c>
      <c r="C109" s="9">
        <v>2</v>
      </c>
      <c r="D109" s="9">
        <v>0</v>
      </c>
      <c r="E109" s="9">
        <v>9</v>
      </c>
      <c r="F109" s="9">
        <v>11</v>
      </c>
      <c r="H109" s="10">
        <v>93.5</v>
      </c>
      <c r="I109" s="10">
        <v>0</v>
      </c>
      <c r="J109" s="10">
        <v>102.63</v>
      </c>
      <c r="K109" s="10">
        <v>100.8</v>
      </c>
      <c r="M109" s="10">
        <v>0</v>
      </c>
      <c r="N109" s="10">
        <v>85.663880000000006</v>
      </c>
      <c r="O109" s="10">
        <v>88.131100000000004</v>
      </c>
      <c r="Q109" s="10">
        <v>0</v>
      </c>
      <c r="R109" s="10">
        <v>847.43</v>
      </c>
      <c r="S109" s="10">
        <v>874.03</v>
      </c>
    </row>
    <row r="110" spans="1:19" x14ac:dyDescent="0.2">
      <c r="A110" s="9" t="s">
        <v>220</v>
      </c>
      <c r="B110" s="9" t="s">
        <v>221</v>
      </c>
      <c r="C110" s="9">
        <v>0</v>
      </c>
      <c r="D110" s="9">
        <v>0</v>
      </c>
      <c r="E110" s="9">
        <v>59</v>
      </c>
      <c r="F110" s="9">
        <v>59</v>
      </c>
      <c r="H110" s="10">
        <v>0</v>
      </c>
      <c r="I110" s="10">
        <v>0</v>
      </c>
      <c r="J110" s="10">
        <v>93.46</v>
      </c>
      <c r="K110" s="10">
        <v>93.46</v>
      </c>
      <c r="M110" s="10">
        <v>0</v>
      </c>
      <c r="N110" s="10">
        <v>131.05273</v>
      </c>
      <c r="O110" s="10">
        <v>131.05273</v>
      </c>
      <c r="Q110" s="10">
        <v>0</v>
      </c>
      <c r="R110" s="10">
        <v>1510.17</v>
      </c>
      <c r="S110" s="10">
        <v>1510.17</v>
      </c>
    </row>
    <row r="111" spans="1:19" x14ac:dyDescent="0.2">
      <c r="A111" s="9" t="s">
        <v>222</v>
      </c>
      <c r="B111" s="9" t="s">
        <v>223</v>
      </c>
      <c r="C111" s="9">
        <v>19</v>
      </c>
      <c r="D111" s="9">
        <v>3</v>
      </c>
      <c r="E111" s="9">
        <v>51</v>
      </c>
      <c r="F111" s="9">
        <v>73</v>
      </c>
      <c r="H111" s="10">
        <v>114.37</v>
      </c>
      <c r="I111" s="10">
        <v>91.5</v>
      </c>
      <c r="J111" s="10">
        <v>109.68</v>
      </c>
      <c r="K111" s="10">
        <v>110.46</v>
      </c>
      <c r="M111" s="10">
        <v>139.99881999999999</v>
      </c>
      <c r="N111" s="10">
        <v>126.77186</v>
      </c>
      <c r="O111" s="10">
        <v>131.03138999999999</v>
      </c>
      <c r="Q111" s="10">
        <v>1324.13</v>
      </c>
      <c r="R111" s="10">
        <v>1195.42</v>
      </c>
      <c r="S111" s="10">
        <v>1236.8699999999999</v>
      </c>
    </row>
    <row r="112" spans="1:19" x14ac:dyDescent="0.2">
      <c r="A112" s="9" t="s">
        <v>224</v>
      </c>
      <c r="B112" s="9" t="s">
        <v>225</v>
      </c>
      <c r="C112" s="9">
        <v>6</v>
      </c>
      <c r="D112" s="9">
        <v>0</v>
      </c>
      <c r="E112" s="9">
        <v>21</v>
      </c>
      <c r="F112" s="9">
        <v>27</v>
      </c>
      <c r="H112" s="10">
        <v>102.25</v>
      </c>
      <c r="I112" s="10">
        <v>0</v>
      </c>
      <c r="J112" s="10">
        <v>86.5</v>
      </c>
      <c r="K112" s="10">
        <v>89.36</v>
      </c>
      <c r="M112" s="10">
        <v>106.125</v>
      </c>
      <c r="N112" s="10">
        <v>109.71722</v>
      </c>
      <c r="O112" s="10">
        <v>108.99878</v>
      </c>
      <c r="Q112" s="10">
        <v>1214.9000000000001</v>
      </c>
      <c r="R112" s="10">
        <v>1425.34</v>
      </c>
      <c r="S112" s="10">
        <v>1383.25</v>
      </c>
    </row>
    <row r="113" spans="1:19" x14ac:dyDescent="0.2">
      <c r="A113" s="9" t="s">
        <v>226</v>
      </c>
      <c r="B113" s="9" t="s">
        <v>227</v>
      </c>
      <c r="C113" s="9">
        <v>14</v>
      </c>
      <c r="D113" s="9">
        <v>0</v>
      </c>
      <c r="E113" s="9">
        <v>67</v>
      </c>
      <c r="F113" s="9">
        <v>81</v>
      </c>
      <c r="H113" s="10">
        <v>125.54</v>
      </c>
      <c r="I113" s="10">
        <v>0</v>
      </c>
      <c r="J113" s="10">
        <v>93.93</v>
      </c>
      <c r="K113" s="10">
        <v>99.8</v>
      </c>
      <c r="M113" s="10">
        <v>379.26922999999999</v>
      </c>
      <c r="N113" s="10">
        <v>270.53909000000004</v>
      </c>
      <c r="O113" s="10">
        <v>291.32572999999996</v>
      </c>
      <c r="Q113" s="10">
        <v>2744.74</v>
      </c>
      <c r="R113" s="10">
        <v>2832.56</v>
      </c>
      <c r="S113" s="10">
        <v>2815.77</v>
      </c>
    </row>
    <row r="114" spans="1:19" x14ac:dyDescent="0.2">
      <c r="A114" s="9" t="s">
        <v>228</v>
      </c>
      <c r="B114" s="9" t="s">
        <v>229</v>
      </c>
      <c r="C114" s="9">
        <v>49</v>
      </c>
      <c r="D114" s="9">
        <v>0</v>
      </c>
      <c r="E114" s="9">
        <v>63</v>
      </c>
      <c r="F114" s="9">
        <v>112</v>
      </c>
      <c r="H114" s="10">
        <v>88.45</v>
      </c>
      <c r="I114" s="10">
        <v>0</v>
      </c>
      <c r="J114" s="10">
        <v>80.069999999999993</v>
      </c>
      <c r="K114" s="10">
        <v>83.75</v>
      </c>
      <c r="M114" s="10">
        <v>239.02659</v>
      </c>
      <c r="N114" s="10">
        <v>131.21999</v>
      </c>
      <c r="O114" s="10">
        <v>178.31995999999998</v>
      </c>
      <c r="Q114" s="10">
        <v>2600.11</v>
      </c>
      <c r="R114" s="10">
        <v>1777.76</v>
      </c>
      <c r="S114" s="10">
        <v>2137.04</v>
      </c>
    </row>
    <row r="115" spans="1:19" x14ac:dyDescent="0.2">
      <c r="A115" s="9" t="s">
        <v>230</v>
      </c>
      <c r="B115" s="9" t="s">
        <v>231</v>
      </c>
      <c r="C115" s="9">
        <v>2</v>
      </c>
      <c r="D115" s="9">
        <v>0</v>
      </c>
      <c r="E115" s="9">
        <v>28</v>
      </c>
      <c r="F115" s="9">
        <v>30</v>
      </c>
      <c r="H115" s="10">
        <v>175</v>
      </c>
      <c r="I115" s="10">
        <v>0</v>
      </c>
      <c r="J115" s="10">
        <v>111.44</v>
      </c>
      <c r="K115" s="10">
        <v>115.82</v>
      </c>
      <c r="M115" s="10">
        <v>0</v>
      </c>
      <c r="N115" s="10">
        <v>194.81792999999999</v>
      </c>
      <c r="O115" s="10">
        <v>197.38220999999999</v>
      </c>
      <c r="Q115" s="10">
        <v>0</v>
      </c>
      <c r="R115" s="10">
        <v>1879.8</v>
      </c>
      <c r="S115" s="10">
        <v>1847.03</v>
      </c>
    </row>
    <row r="116" spans="1:19" x14ac:dyDescent="0.2">
      <c r="A116" s="9" t="s">
        <v>232</v>
      </c>
      <c r="B116" s="9" t="s">
        <v>233</v>
      </c>
      <c r="C116" s="9">
        <v>13</v>
      </c>
      <c r="D116" s="9">
        <v>0</v>
      </c>
      <c r="E116" s="9">
        <v>30</v>
      </c>
      <c r="F116" s="9">
        <v>43</v>
      </c>
      <c r="H116" s="10">
        <v>102.18</v>
      </c>
      <c r="I116" s="10">
        <v>0</v>
      </c>
      <c r="J116" s="10">
        <v>108.96</v>
      </c>
      <c r="K116" s="10">
        <v>106.77</v>
      </c>
      <c r="M116" s="10">
        <v>213.90908999999999</v>
      </c>
      <c r="N116" s="10">
        <v>196.80862999999999</v>
      </c>
      <c r="O116" s="10">
        <v>202.50878</v>
      </c>
      <c r="Q116" s="10">
        <v>2245.14</v>
      </c>
      <c r="R116" s="10">
        <v>1999.45</v>
      </c>
      <c r="S116" s="10">
        <v>2081.35</v>
      </c>
    </row>
    <row r="117" spans="1:19" x14ac:dyDescent="0.2">
      <c r="A117" s="9" t="s">
        <v>234</v>
      </c>
      <c r="B117" s="9" t="s">
        <v>235</v>
      </c>
      <c r="C117" s="9">
        <v>6</v>
      </c>
      <c r="D117" s="9">
        <v>0</v>
      </c>
      <c r="E117" s="9">
        <v>43</v>
      </c>
      <c r="F117" s="9">
        <v>49</v>
      </c>
      <c r="H117" s="10">
        <v>79.67</v>
      </c>
      <c r="I117" s="10">
        <v>0</v>
      </c>
      <c r="J117" s="10">
        <v>80.709999999999994</v>
      </c>
      <c r="K117" s="10">
        <v>80.55</v>
      </c>
      <c r="M117" s="10">
        <v>144.45448999999999</v>
      </c>
      <c r="N117" s="10">
        <v>152.3938</v>
      </c>
      <c r="O117" s="10">
        <v>151.17237</v>
      </c>
      <c r="Q117" s="10">
        <v>1865.21</v>
      </c>
      <c r="R117" s="10">
        <v>1964.63</v>
      </c>
      <c r="S117" s="10">
        <v>1949.33</v>
      </c>
    </row>
    <row r="118" spans="1:19" x14ac:dyDescent="0.2">
      <c r="A118" s="9" t="s">
        <v>236</v>
      </c>
      <c r="B118" s="9" t="s">
        <v>237</v>
      </c>
      <c r="C118" s="9">
        <v>5</v>
      </c>
      <c r="D118" s="9">
        <v>0</v>
      </c>
      <c r="E118" s="9">
        <v>55</v>
      </c>
      <c r="F118" s="9">
        <v>60</v>
      </c>
      <c r="H118" s="10">
        <v>111.25</v>
      </c>
      <c r="I118" s="10">
        <v>0</v>
      </c>
      <c r="J118" s="10">
        <v>123.04</v>
      </c>
      <c r="K118" s="10">
        <v>122.17</v>
      </c>
      <c r="M118" s="10">
        <v>106</v>
      </c>
      <c r="N118" s="10">
        <v>119.69861</v>
      </c>
      <c r="O118" s="10">
        <v>118.68389999999999</v>
      </c>
      <c r="Q118" s="10">
        <v>1250.26</v>
      </c>
      <c r="R118" s="10">
        <v>1098.03</v>
      </c>
      <c r="S118" s="10">
        <v>1109.31</v>
      </c>
    </row>
    <row r="119" spans="1:19" x14ac:dyDescent="0.2">
      <c r="A119" s="9" t="s">
        <v>238</v>
      </c>
      <c r="B119" s="9" t="s">
        <v>239</v>
      </c>
      <c r="C119" s="9">
        <v>24</v>
      </c>
      <c r="D119" s="9">
        <v>0</v>
      </c>
      <c r="E119" s="9">
        <v>104</v>
      </c>
      <c r="F119" s="9">
        <v>128</v>
      </c>
      <c r="H119" s="10">
        <v>79.430000000000007</v>
      </c>
      <c r="I119" s="10">
        <v>0</v>
      </c>
      <c r="J119" s="10">
        <v>81.040000000000006</v>
      </c>
      <c r="K119" s="10">
        <v>80.739999999999995</v>
      </c>
      <c r="M119" s="10">
        <v>122.30882000000001</v>
      </c>
      <c r="N119" s="10">
        <v>118.62974</v>
      </c>
      <c r="O119" s="10">
        <v>119.32334</v>
      </c>
      <c r="Q119" s="10">
        <v>1560.33</v>
      </c>
      <c r="R119" s="10">
        <v>1592.74</v>
      </c>
      <c r="S119" s="10">
        <v>1586.63</v>
      </c>
    </row>
    <row r="120" spans="1:19" x14ac:dyDescent="0.2">
      <c r="A120" s="9" t="s">
        <v>240</v>
      </c>
      <c r="B120" s="9" t="s">
        <v>241</v>
      </c>
      <c r="C120" s="9">
        <v>2</v>
      </c>
      <c r="D120" s="9">
        <v>2</v>
      </c>
      <c r="E120" s="9">
        <v>19</v>
      </c>
      <c r="F120" s="9">
        <v>23</v>
      </c>
      <c r="H120" s="10">
        <v>176</v>
      </c>
      <c r="I120" s="10">
        <v>84</v>
      </c>
      <c r="J120" s="10">
        <v>84.56</v>
      </c>
      <c r="K120" s="10">
        <v>93.65</v>
      </c>
      <c r="M120" s="10">
        <v>0</v>
      </c>
      <c r="N120" s="10">
        <v>133.65188000000001</v>
      </c>
      <c r="O120" s="10">
        <v>141.04578000000001</v>
      </c>
      <c r="Q120" s="10">
        <v>0</v>
      </c>
      <c r="R120" s="10">
        <v>1607.46</v>
      </c>
      <c r="S120" s="10">
        <v>1550.64</v>
      </c>
    </row>
    <row r="121" spans="1:19" x14ac:dyDescent="0.2">
      <c r="A121" s="9" t="s">
        <v>242</v>
      </c>
      <c r="B121" s="9" t="s">
        <v>243</v>
      </c>
      <c r="C121" s="9">
        <v>2</v>
      </c>
      <c r="D121" s="9">
        <v>0</v>
      </c>
      <c r="E121" s="9">
        <v>118</v>
      </c>
      <c r="F121" s="9">
        <v>120</v>
      </c>
      <c r="H121" s="10">
        <v>111</v>
      </c>
      <c r="I121" s="10">
        <v>0</v>
      </c>
      <c r="J121" s="10">
        <v>74.59</v>
      </c>
      <c r="K121" s="10">
        <v>75.28</v>
      </c>
      <c r="M121" s="10">
        <v>0</v>
      </c>
      <c r="N121" s="10">
        <v>178.69268</v>
      </c>
      <c r="O121" s="10">
        <v>181.21974</v>
      </c>
      <c r="Q121" s="10">
        <v>0</v>
      </c>
      <c r="R121" s="10">
        <v>2484.9</v>
      </c>
      <c r="S121" s="10">
        <v>2498.4299999999998</v>
      </c>
    </row>
    <row r="122" spans="1:19" x14ac:dyDescent="0.2">
      <c r="A122" s="9" t="s">
        <v>244</v>
      </c>
      <c r="B122" s="9" t="s">
        <v>245</v>
      </c>
      <c r="C122" s="9">
        <v>0</v>
      </c>
      <c r="D122" s="9">
        <v>0</v>
      </c>
      <c r="E122" s="9">
        <v>35</v>
      </c>
      <c r="F122" s="9">
        <v>35</v>
      </c>
      <c r="H122" s="10">
        <v>0</v>
      </c>
      <c r="I122" s="10">
        <v>0</v>
      </c>
      <c r="J122" s="10">
        <v>180.39</v>
      </c>
      <c r="K122" s="10">
        <v>180.39</v>
      </c>
      <c r="M122" s="10">
        <v>0</v>
      </c>
      <c r="N122" s="10">
        <v>423.04326000000003</v>
      </c>
      <c r="O122" s="10">
        <v>423.04326000000003</v>
      </c>
      <c r="Q122" s="10">
        <v>0</v>
      </c>
      <c r="R122" s="10">
        <v>2466.96</v>
      </c>
      <c r="S122" s="10">
        <v>2466.96</v>
      </c>
    </row>
    <row r="123" spans="1:19" x14ac:dyDescent="0.2">
      <c r="A123" s="9" t="s">
        <v>246</v>
      </c>
      <c r="B123" s="9" t="s">
        <v>247</v>
      </c>
      <c r="C123" s="9">
        <v>4</v>
      </c>
      <c r="D123" s="9">
        <v>0</v>
      </c>
      <c r="E123" s="9">
        <v>71</v>
      </c>
      <c r="F123" s="9">
        <v>75</v>
      </c>
      <c r="H123" s="10">
        <v>80</v>
      </c>
      <c r="I123" s="10">
        <v>0</v>
      </c>
      <c r="J123" s="10">
        <v>107.38</v>
      </c>
      <c r="K123" s="10">
        <v>106.56</v>
      </c>
      <c r="M123" s="10">
        <v>224.5</v>
      </c>
      <c r="N123" s="10">
        <v>260.65357999999998</v>
      </c>
      <c r="O123" s="10">
        <v>259.57436999999999</v>
      </c>
      <c r="Q123" s="10">
        <v>2806.25</v>
      </c>
      <c r="R123" s="10">
        <v>2574.09</v>
      </c>
      <c r="S123" s="10">
        <v>2581.02</v>
      </c>
    </row>
    <row r="124" spans="1:19" x14ac:dyDescent="0.2">
      <c r="A124" s="9" t="s">
        <v>248</v>
      </c>
      <c r="B124" s="9" t="s">
        <v>249</v>
      </c>
      <c r="C124" s="9">
        <v>3</v>
      </c>
      <c r="D124" s="9">
        <v>0</v>
      </c>
      <c r="E124" s="9">
        <v>19</v>
      </c>
      <c r="F124" s="9">
        <v>22</v>
      </c>
      <c r="H124" s="10">
        <v>154.33000000000001</v>
      </c>
      <c r="I124" s="10">
        <v>0</v>
      </c>
      <c r="J124" s="10">
        <v>109.59</v>
      </c>
      <c r="K124" s="10">
        <v>116.3</v>
      </c>
      <c r="M124" s="10">
        <v>283.33332999999999</v>
      </c>
      <c r="N124" s="10">
        <v>167.53561999999999</v>
      </c>
      <c r="O124" s="10">
        <v>184.90528</v>
      </c>
      <c r="Q124" s="10">
        <v>1871.97</v>
      </c>
      <c r="R124" s="10">
        <v>1647.7</v>
      </c>
      <c r="S124" s="10">
        <v>1681.34</v>
      </c>
    </row>
    <row r="125" spans="1:19" x14ac:dyDescent="0.2">
      <c r="A125" s="9" t="s">
        <v>250</v>
      </c>
      <c r="B125" s="9" t="s">
        <v>251</v>
      </c>
      <c r="C125" s="9">
        <v>27</v>
      </c>
      <c r="D125" s="9">
        <v>8</v>
      </c>
      <c r="E125" s="9">
        <v>306</v>
      </c>
      <c r="F125" s="9">
        <v>341</v>
      </c>
      <c r="H125" s="10">
        <v>117.78</v>
      </c>
      <c r="I125" s="10">
        <v>78.290000000000006</v>
      </c>
      <c r="J125" s="10">
        <v>81.77</v>
      </c>
      <c r="K125" s="10">
        <v>84.89</v>
      </c>
      <c r="M125" s="10">
        <v>155.66076999999999</v>
      </c>
      <c r="N125" s="10">
        <v>91.885580000000004</v>
      </c>
      <c r="O125" s="10">
        <v>98.190350000000009</v>
      </c>
      <c r="Q125" s="10">
        <v>1251.2</v>
      </c>
      <c r="R125" s="10">
        <v>1074.23</v>
      </c>
      <c r="S125" s="10">
        <v>1091.73</v>
      </c>
    </row>
    <row r="126" spans="1:19" x14ac:dyDescent="0.2">
      <c r="A126" s="9" t="s">
        <v>252</v>
      </c>
      <c r="B126" s="9" t="s">
        <v>253</v>
      </c>
      <c r="C126" s="9">
        <v>9</v>
      </c>
      <c r="D126" s="9">
        <v>0</v>
      </c>
      <c r="E126" s="9">
        <v>12</v>
      </c>
      <c r="F126" s="9">
        <v>21</v>
      </c>
      <c r="H126" s="10">
        <v>59</v>
      </c>
      <c r="I126" s="10">
        <v>0</v>
      </c>
      <c r="J126" s="10">
        <v>70.38</v>
      </c>
      <c r="K126" s="10">
        <v>65.5</v>
      </c>
      <c r="M126" s="10">
        <v>70</v>
      </c>
      <c r="N126" s="10">
        <v>109.85637</v>
      </c>
      <c r="O126" s="10">
        <v>92.775070000000014</v>
      </c>
      <c r="Q126" s="10">
        <v>1166.45</v>
      </c>
      <c r="R126" s="10">
        <v>1751.95</v>
      </c>
      <c r="S126" s="10">
        <v>1501.02</v>
      </c>
    </row>
    <row r="127" spans="1:19" x14ac:dyDescent="0.2">
      <c r="A127" s="9" t="s">
        <v>254</v>
      </c>
      <c r="B127" s="9" t="s">
        <v>255</v>
      </c>
      <c r="C127" s="9">
        <v>9</v>
      </c>
      <c r="D127" s="9">
        <v>0</v>
      </c>
      <c r="E127" s="9">
        <v>83</v>
      </c>
      <c r="F127" s="9">
        <v>92</v>
      </c>
      <c r="H127" s="10">
        <v>72.5</v>
      </c>
      <c r="I127" s="10">
        <v>0</v>
      </c>
      <c r="J127" s="10">
        <v>82.19</v>
      </c>
      <c r="K127" s="10">
        <v>81.319999999999993</v>
      </c>
      <c r="M127" s="10">
        <v>185.8125</v>
      </c>
      <c r="N127" s="10">
        <v>194.09514000000001</v>
      </c>
      <c r="O127" s="10">
        <v>193.31560000000002</v>
      </c>
      <c r="Q127" s="10">
        <v>2552.1</v>
      </c>
      <c r="R127" s="10">
        <v>2376.8000000000002</v>
      </c>
      <c r="S127" s="10">
        <v>2393.3000000000002</v>
      </c>
    </row>
    <row r="128" spans="1:19" x14ac:dyDescent="0.2">
      <c r="A128" s="9" t="s">
        <v>256</v>
      </c>
      <c r="B128" s="9" t="s">
        <v>257</v>
      </c>
      <c r="C128" s="9">
        <v>2</v>
      </c>
      <c r="D128" s="9">
        <v>0</v>
      </c>
      <c r="E128" s="9">
        <v>5</v>
      </c>
      <c r="F128" s="9">
        <v>7</v>
      </c>
      <c r="H128" s="10">
        <v>99</v>
      </c>
      <c r="I128" s="10">
        <v>0</v>
      </c>
      <c r="J128" s="10">
        <v>114.6</v>
      </c>
      <c r="K128" s="10">
        <v>110.14</v>
      </c>
      <c r="M128" s="10">
        <v>0</v>
      </c>
      <c r="N128" s="10">
        <v>128.27500000000001</v>
      </c>
      <c r="O128" s="10">
        <v>113.01667</v>
      </c>
      <c r="Q128" s="10">
        <v>0</v>
      </c>
      <c r="R128" s="10">
        <v>1004.51</v>
      </c>
      <c r="S128" s="10">
        <v>955.66</v>
      </c>
    </row>
    <row r="129" spans="1:19" x14ac:dyDescent="0.2">
      <c r="A129" s="9" t="s">
        <v>258</v>
      </c>
      <c r="B129" s="9" t="s">
        <v>259</v>
      </c>
      <c r="C129" s="9">
        <v>1</v>
      </c>
      <c r="D129" s="9">
        <v>0</v>
      </c>
      <c r="E129" s="9">
        <v>36</v>
      </c>
      <c r="F129" s="9">
        <v>37</v>
      </c>
      <c r="H129" s="10">
        <v>0</v>
      </c>
      <c r="I129" s="10">
        <v>0</v>
      </c>
      <c r="J129" s="10">
        <v>128.63999999999999</v>
      </c>
      <c r="K129" s="10">
        <v>128.63999999999999</v>
      </c>
      <c r="M129" s="10">
        <v>0</v>
      </c>
      <c r="N129" s="10">
        <v>234.49327</v>
      </c>
      <c r="O129" s="10">
        <v>234.49327</v>
      </c>
      <c r="Q129" s="10">
        <v>0</v>
      </c>
      <c r="R129" s="10">
        <v>2037.58</v>
      </c>
      <c r="S129" s="10">
        <v>2037.58</v>
      </c>
    </row>
    <row r="130" spans="1:19" x14ac:dyDescent="0.2">
      <c r="A130" s="9" t="s">
        <v>260</v>
      </c>
      <c r="B130" s="9" t="s">
        <v>261</v>
      </c>
      <c r="C130" s="9">
        <v>15</v>
      </c>
      <c r="D130" s="9">
        <v>0</v>
      </c>
      <c r="E130" s="9">
        <v>29</v>
      </c>
      <c r="F130" s="9">
        <v>44</v>
      </c>
      <c r="H130" s="10">
        <v>124.6</v>
      </c>
      <c r="I130" s="10">
        <v>0</v>
      </c>
      <c r="J130" s="10">
        <v>101.71</v>
      </c>
      <c r="K130" s="10">
        <v>109.69</v>
      </c>
      <c r="M130" s="10">
        <v>75.627259999999993</v>
      </c>
      <c r="N130" s="10">
        <v>128.25892999999999</v>
      </c>
      <c r="O130" s="10">
        <v>109.00344</v>
      </c>
      <c r="Q130" s="10">
        <v>746.62</v>
      </c>
      <c r="R130" s="10">
        <v>1383.89</v>
      </c>
      <c r="S130" s="10">
        <v>1150.74</v>
      </c>
    </row>
    <row r="131" spans="1:19" x14ac:dyDescent="0.2">
      <c r="A131" s="9" t="s">
        <v>262</v>
      </c>
      <c r="B131" s="9" t="s">
        <v>263</v>
      </c>
      <c r="C131" s="9">
        <v>0</v>
      </c>
      <c r="D131" s="9">
        <v>0</v>
      </c>
      <c r="E131" s="9">
        <v>37</v>
      </c>
      <c r="F131" s="9">
        <v>37</v>
      </c>
      <c r="H131" s="10">
        <v>0</v>
      </c>
      <c r="I131" s="10">
        <v>0</v>
      </c>
      <c r="J131" s="10">
        <v>91.27</v>
      </c>
      <c r="K131" s="10">
        <v>91.27</v>
      </c>
      <c r="M131" s="10">
        <v>0</v>
      </c>
      <c r="N131" s="10">
        <v>86.663640000000001</v>
      </c>
      <c r="O131" s="10">
        <v>86.663640000000001</v>
      </c>
      <c r="Q131" s="10">
        <v>0</v>
      </c>
      <c r="R131" s="10">
        <v>937.46</v>
      </c>
      <c r="S131" s="10">
        <v>937.46</v>
      </c>
    </row>
    <row r="132" spans="1:19" x14ac:dyDescent="0.2">
      <c r="A132" s="9" t="s">
        <v>264</v>
      </c>
      <c r="B132" s="9" t="s">
        <v>265</v>
      </c>
      <c r="C132" s="9">
        <v>0</v>
      </c>
      <c r="D132" s="9">
        <v>0</v>
      </c>
      <c r="E132" s="9">
        <v>9</v>
      </c>
      <c r="F132" s="9">
        <v>9</v>
      </c>
      <c r="H132" s="10">
        <v>0</v>
      </c>
      <c r="I132" s="10">
        <v>0</v>
      </c>
      <c r="J132" s="10">
        <v>101</v>
      </c>
      <c r="K132" s="10">
        <v>101</v>
      </c>
      <c r="M132" s="10">
        <v>0</v>
      </c>
      <c r="N132" s="10">
        <v>74.45</v>
      </c>
      <c r="O132" s="10">
        <v>74.45</v>
      </c>
      <c r="Q132" s="10">
        <v>0</v>
      </c>
      <c r="R132" s="10">
        <v>723.9</v>
      </c>
      <c r="S132" s="10">
        <v>723.9</v>
      </c>
    </row>
    <row r="133" spans="1:19" x14ac:dyDescent="0.2">
      <c r="A133" s="9" t="s">
        <v>266</v>
      </c>
      <c r="B133" s="9" t="s">
        <v>267</v>
      </c>
      <c r="C133" s="9">
        <v>1</v>
      </c>
      <c r="D133" s="9">
        <v>0</v>
      </c>
      <c r="E133" s="9">
        <v>158</v>
      </c>
      <c r="F133" s="9">
        <v>159</v>
      </c>
      <c r="H133" s="10">
        <v>65</v>
      </c>
      <c r="I133" s="10">
        <v>0</v>
      </c>
      <c r="J133" s="10">
        <v>69.53</v>
      </c>
      <c r="K133" s="10">
        <v>69.5</v>
      </c>
      <c r="M133" s="10">
        <v>0</v>
      </c>
      <c r="N133" s="10">
        <v>158.31774999999999</v>
      </c>
      <c r="O133" s="10">
        <v>158.46295000000001</v>
      </c>
      <c r="Q133" s="10">
        <v>0</v>
      </c>
      <c r="R133" s="10">
        <v>2268.69</v>
      </c>
      <c r="S133" s="10">
        <v>2272.12</v>
      </c>
    </row>
    <row r="134" spans="1:19" x14ac:dyDescent="0.2">
      <c r="A134" s="9" t="s">
        <v>268</v>
      </c>
      <c r="B134" s="9" t="s">
        <v>269</v>
      </c>
      <c r="C134" s="9">
        <v>29</v>
      </c>
      <c r="D134" s="9">
        <v>0</v>
      </c>
      <c r="E134" s="9">
        <v>215</v>
      </c>
      <c r="F134" s="9">
        <v>244</v>
      </c>
      <c r="H134" s="10">
        <v>109.5</v>
      </c>
      <c r="I134" s="10">
        <v>0</v>
      </c>
      <c r="J134" s="10">
        <v>93.37</v>
      </c>
      <c r="K134" s="10">
        <v>95.23</v>
      </c>
      <c r="M134" s="10">
        <v>177.88461999999998</v>
      </c>
      <c r="N134" s="10">
        <v>150.25226999999998</v>
      </c>
      <c r="O134" s="10">
        <v>153.56306000000001</v>
      </c>
      <c r="Q134" s="10">
        <v>1844.43</v>
      </c>
      <c r="R134" s="10">
        <v>1739.1</v>
      </c>
      <c r="S134" s="10">
        <v>1751.72</v>
      </c>
    </row>
    <row r="135" spans="1:19" x14ac:dyDescent="0.2">
      <c r="A135" s="9" t="s">
        <v>270</v>
      </c>
      <c r="B135" s="9" t="s">
        <v>271</v>
      </c>
      <c r="C135" s="9">
        <v>116</v>
      </c>
      <c r="D135" s="9">
        <v>9</v>
      </c>
      <c r="E135" s="9">
        <v>473</v>
      </c>
      <c r="F135" s="9">
        <v>598</v>
      </c>
      <c r="H135" s="10">
        <v>92.97</v>
      </c>
      <c r="I135" s="10">
        <v>65.430000000000007</v>
      </c>
      <c r="J135" s="10">
        <v>92.15</v>
      </c>
      <c r="K135" s="10">
        <v>91.98</v>
      </c>
      <c r="M135" s="10">
        <v>195.44018</v>
      </c>
      <c r="N135" s="10">
        <v>176.87128000000001</v>
      </c>
      <c r="O135" s="10">
        <v>181.01414000000003</v>
      </c>
      <c r="Q135" s="10">
        <v>2107.48</v>
      </c>
      <c r="R135" s="10">
        <v>1961.66</v>
      </c>
      <c r="S135" s="10">
        <v>1994.19</v>
      </c>
    </row>
    <row r="136" spans="1:19" x14ac:dyDescent="0.2">
      <c r="A136" s="9" t="s">
        <v>272</v>
      </c>
      <c r="B136" s="9" t="s">
        <v>273</v>
      </c>
      <c r="C136" s="9">
        <v>3</v>
      </c>
      <c r="D136" s="9">
        <v>0</v>
      </c>
      <c r="E136" s="9">
        <v>9</v>
      </c>
      <c r="F136" s="9">
        <v>12</v>
      </c>
      <c r="H136" s="10">
        <v>82.33</v>
      </c>
      <c r="I136" s="10">
        <v>0</v>
      </c>
      <c r="J136" s="10">
        <v>101.57</v>
      </c>
      <c r="K136" s="10">
        <v>95.8</v>
      </c>
      <c r="M136" s="10">
        <v>68.691869999999994</v>
      </c>
      <c r="N136" s="10">
        <v>65.366669999999999</v>
      </c>
      <c r="O136" s="10">
        <v>66.475070000000002</v>
      </c>
      <c r="Q136" s="10">
        <v>749.85</v>
      </c>
      <c r="R136" s="10">
        <v>669.72</v>
      </c>
      <c r="S136" s="10">
        <v>696.43</v>
      </c>
    </row>
    <row r="137" spans="1:19" x14ac:dyDescent="0.2">
      <c r="A137" s="9" t="s">
        <v>274</v>
      </c>
      <c r="B137" s="9" t="s">
        <v>275</v>
      </c>
      <c r="C137" s="9">
        <v>12</v>
      </c>
      <c r="D137" s="9">
        <v>0</v>
      </c>
      <c r="E137" s="9">
        <v>193</v>
      </c>
      <c r="F137" s="9">
        <v>205</v>
      </c>
      <c r="H137" s="10">
        <v>72.92</v>
      </c>
      <c r="I137" s="10">
        <v>0</v>
      </c>
      <c r="J137" s="10">
        <v>62.46</v>
      </c>
      <c r="K137" s="10">
        <v>63.09</v>
      </c>
      <c r="M137" s="10">
        <v>121.07342</v>
      </c>
      <c r="N137" s="10">
        <v>105.53811999999999</v>
      </c>
      <c r="O137" s="10">
        <v>106.47964999999999</v>
      </c>
      <c r="Q137" s="10">
        <v>1787.19</v>
      </c>
      <c r="R137" s="10">
        <v>1739.02</v>
      </c>
      <c r="S137" s="10">
        <v>1741.94</v>
      </c>
    </row>
    <row r="138" spans="1:19" x14ac:dyDescent="0.2">
      <c r="A138" s="9" t="s">
        <v>276</v>
      </c>
      <c r="B138" s="9" t="s">
        <v>277</v>
      </c>
      <c r="C138" s="9">
        <v>6</v>
      </c>
      <c r="D138" s="9">
        <v>2</v>
      </c>
      <c r="E138" s="9">
        <v>79</v>
      </c>
      <c r="F138" s="9">
        <v>87</v>
      </c>
      <c r="H138" s="10">
        <v>100.17</v>
      </c>
      <c r="I138" s="10">
        <v>74</v>
      </c>
      <c r="J138" s="10">
        <v>82.14</v>
      </c>
      <c r="K138" s="10">
        <v>83.27</v>
      </c>
      <c r="M138" s="10">
        <v>102.16667</v>
      </c>
      <c r="N138" s="10">
        <v>92.959600000000009</v>
      </c>
      <c r="O138" s="10">
        <v>93.796610000000001</v>
      </c>
      <c r="Q138" s="10">
        <v>1118.77</v>
      </c>
      <c r="R138" s="10">
        <v>1112.24</v>
      </c>
      <c r="S138" s="10">
        <v>1112.83</v>
      </c>
    </row>
    <row r="139" spans="1:19" x14ac:dyDescent="0.2">
      <c r="A139" s="9" t="s">
        <v>278</v>
      </c>
      <c r="B139" s="9" t="s">
        <v>279</v>
      </c>
      <c r="C139" s="9">
        <v>1</v>
      </c>
      <c r="D139" s="9">
        <v>0</v>
      </c>
      <c r="E139" s="9">
        <v>43</v>
      </c>
      <c r="F139" s="9">
        <v>44</v>
      </c>
      <c r="H139" s="10">
        <v>74</v>
      </c>
      <c r="I139" s="10">
        <v>0</v>
      </c>
      <c r="J139" s="10">
        <v>76.58</v>
      </c>
      <c r="K139" s="10">
        <v>76.52</v>
      </c>
      <c r="M139" s="10">
        <v>0</v>
      </c>
      <c r="N139" s="10">
        <v>198.8177</v>
      </c>
      <c r="O139" s="10">
        <v>201.82842000000002</v>
      </c>
      <c r="Q139" s="10">
        <v>0</v>
      </c>
      <c r="R139" s="10">
        <v>2350.4</v>
      </c>
      <c r="S139" s="10">
        <v>2410.87</v>
      </c>
    </row>
    <row r="140" spans="1:19" x14ac:dyDescent="0.2">
      <c r="A140" s="9" t="s">
        <v>280</v>
      </c>
      <c r="B140" s="9" t="s">
        <v>281</v>
      </c>
      <c r="C140" s="9">
        <v>0</v>
      </c>
      <c r="D140" s="9">
        <v>0</v>
      </c>
      <c r="E140" s="9">
        <v>47</v>
      </c>
      <c r="F140" s="9">
        <v>47</v>
      </c>
      <c r="H140" s="10">
        <v>0</v>
      </c>
      <c r="I140" s="10">
        <v>0</v>
      </c>
      <c r="J140" s="10">
        <v>81.38</v>
      </c>
      <c r="K140" s="10">
        <v>81.38</v>
      </c>
      <c r="M140" s="10">
        <v>0</v>
      </c>
      <c r="N140" s="10">
        <v>148.05587</v>
      </c>
      <c r="O140" s="10">
        <v>148.05587</v>
      </c>
      <c r="Q140" s="10">
        <v>0</v>
      </c>
      <c r="R140" s="10">
        <v>1879.32</v>
      </c>
      <c r="S140" s="10">
        <v>1879.32</v>
      </c>
    </row>
    <row r="141" spans="1:19" x14ac:dyDescent="0.2">
      <c r="A141" s="9" t="s">
        <v>282</v>
      </c>
      <c r="B141" s="9" t="s">
        <v>283</v>
      </c>
      <c r="C141" s="9">
        <v>21</v>
      </c>
      <c r="D141" s="9">
        <v>0</v>
      </c>
      <c r="E141" s="9">
        <v>41</v>
      </c>
      <c r="F141" s="9">
        <v>62</v>
      </c>
      <c r="H141" s="10">
        <v>106.2</v>
      </c>
      <c r="I141" s="10">
        <v>0</v>
      </c>
      <c r="J141" s="10">
        <v>102</v>
      </c>
      <c r="K141" s="10">
        <v>103.95</v>
      </c>
      <c r="M141" s="10">
        <v>290.97995000000003</v>
      </c>
      <c r="N141" s="10">
        <v>259.68547000000001</v>
      </c>
      <c r="O141" s="10">
        <v>274.24104</v>
      </c>
      <c r="Q141" s="10">
        <v>3880.17</v>
      </c>
      <c r="R141" s="10">
        <v>3125.56</v>
      </c>
      <c r="S141" s="10">
        <v>3476.54</v>
      </c>
    </row>
    <row r="142" spans="1:19" x14ac:dyDescent="0.2">
      <c r="A142" s="9" t="s">
        <v>284</v>
      </c>
      <c r="B142" s="9" t="s">
        <v>285</v>
      </c>
      <c r="C142" s="9">
        <v>0</v>
      </c>
      <c r="D142" s="9">
        <v>0</v>
      </c>
      <c r="E142" s="9">
        <v>16</v>
      </c>
      <c r="F142" s="9">
        <v>16</v>
      </c>
      <c r="H142" s="10">
        <v>0</v>
      </c>
      <c r="I142" s="10">
        <v>0</v>
      </c>
      <c r="J142" s="10">
        <v>134.5</v>
      </c>
      <c r="K142" s="10">
        <v>134.5</v>
      </c>
      <c r="M142" s="10">
        <v>0</v>
      </c>
      <c r="N142" s="10">
        <v>200.92308</v>
      </c>
      <c r="O142" s="10">
        <v>200.92308</v>
      </c>
      <c r="Q142" s="10">
        <v>0</v>
      </c>
      <c r="R142" s="10">
        <v>1568.99</v>
      </c>
      <c r="S142" s="10">
        <v>1568.99</v>
      </c>
    </row>
    <row r="143" spans="1:19" x14ac:dyDescent="0.2">
      <c r="A143" s="9" t="s">
        <v>286</v>
      </c>
      <c r="B143" s="9" t="s">
        <v>287</v>
      </c>
      <c r="C143" s="9">
        <v>21</v>
      </c>
      <c r="D143" s="9">
        <v>0</v>
      </c>
      <c r="E143" s="9">
        <v>114</v>
      </c>
      <c r="F143" s="9">
        <v>135</v>
      </c>
      <c r="H143" s="10">
        <v>77.09</v>
      </c>
      <c r="I143" s="10">
        <v>0</v>
      </c>
      <c r="J143" s="10">
        <v>77.48</v>
      </c>
      <c r="K143" s="10">
        <v>77.44</v>
      </c>
      <c r="M143" s="10">
        <v>201.67273</v>
      </c>
      <c r="N143" s="10">
        <v>167.20076999999998</v>
      </c>
      <c r="O143" s="10">
        <v>171.15067999999999</v>
      </c>
      <c r="Q143" s="10">
        <v>2541.54</v>
      </c>
      <c r="R143" s="10">
        <v>2192.13</v>
      </c>
      <c r="S143" s="10">
        <v>2232.17</v>
      </c>
    </row>
    <row r="144" spans="1:19" x14ac:dyDescent="0.2">
      <c r="A144" s="9" t="s">
        <v>288</v>
      </c>
      <c r="B144" s="9" t="s">
        <v>289</v>
      </c>
      <c r="C144" s="9">
        <v>0</v>
      </c>
      <c r="D144" s="9">
        <v>0</v>
      </c>
      <c r="E144" s="9">
        <v>53</v>
      </c>
      <c r="F144" s="9">
        <v>53</v>
      </c>
      <c r="H144" s="10">
        <v>0</v>
      </c>
      <c r="I144" s="10">
        <v>0</v>
      </c>
      <c r="J144" s="10">
        <v>83.17</v>
      </c>
      <c r="K144" s="10">
        <v>83.17</v>
      </c>
      <c r="M144" s="10">
        <v>0</v>
      </c>
      <c r="N144" s="10">
        <v>72.975769999999997</v>
      </c>
      <c r="O144" s="10">
        <v>72.975769999999997</v>
      </c>
      <c r="Q144" s="10">
        <v>0</v>
      </c>
      <c r="R144" s="10">
        <v>908.65</v>
      </c>
      <c r="S144" s="10">
        <v>908.65</v>
      </c>
    </row>
    <row r="145" spans="1:19" x14ac:dyDescent="0.2">
      <c r="A145" s="9" t="s">
        <v>290</v>
      </c>
      <c r="B145" s="9" t="s">
        <v>291</v>
      </c>
      <c r="C145" s="9">
        <v>4</v>
      </c>
      <c r="D145" s="9">
        <v>0</v>
      </c>
      <c r="E145" s="9">
        <v>32</v>
      </c>
      <c r="F145" s="9">
        <v>36</v>
      </c>
      <c r="H145" s="10">
        <v>117.75</v>
      </c>
      <c r="I145" s="10">
        <v>0</v>
      </c>
      <c r="J145" s="10">
        <v>129.9</v>
      </c>
      <c r="K145" s="10">
        <v>128.51</v>
      </c>
      <c r="M145" s="10">
        <v>164.36250000000001</v>
      </c>
      <c r="N145" s="10">
        <v>141.02585999999999</v>
      </c>
      <c r="O145" s="10">
        <v>143.77135000000001</v>
      </c>
      <c r="Q145" s="10">
        <v>1634.92</v>
      </c>
      <c r="R145" s="10">
        <v>1252.73</v>
      </c>
      <c r="S145" s="10">
        <v>1297.69</v>
      </c>
    </row>
    <row r="146" spans="1:19" x14ac:dyDescent="0.2">
      <c r="A146" s="9" t="s">
        <v>292</v>
      </c>
      <c r="B146" s="9" t="s">
        <v>293</v>
      </c>
      <c r="C146" s="9">
        <v>147</v>
      </c>
      <c r="D146" s="9">
        <v>0</v>
      </c>
      <c r="E146" s="9">
        <v>291</v>
      </c>
      <c r="F146" s="9">
        <v>438</v>
      </c>
      <c r="H146" s="10">
        <v>103.69</v>
      </c>
      <c r="I146" s="10">
        <v>0</v>
      </c>
      <c r="J146" s="10">
        <v>120.02</v>
      </c>
      <c r="K146" s="10">
        <v>112.96</v>
      </c>
      <c r="M146" s="10">
        <v>392.58217999999999</v>
      </c>
      <c r="N146" s="10">
        <v>409.98470000000003</v>
      </c>
      <c r="O146" s="10">
        <v>402.41597999999999</v>
      </c>
      <c r="Q146" s="10">
        <v>3956.52</v>
      </c>
      <c r="R146" s="10">
        <v>3634.58</v>
      </c>
      <c r="S146" s="10">
        <v>3774.6</v>
      </c>
    </row>
    <row r="147" spans="1:19" x14ac:dyDescent="0.2">
      <c r="A147" s="9" t="s">
        <v>294</v>
      </c>
      <c r="B147" s="9" t="s">
        <v>295</v>
      </c>
      <c r="C147" s="9">
        <v>0</v>
      </c>
      <c r="D147" s="9">
        <v>0</v>
      </c>
      <c r="E147" s="9">
        <v>26</v>
      </c>
      <c r="F147" s="9">
        <v>26</v>
      </c>
      <c r="H147" s="10">
        <v>0</v>
      </c>
      <c r="I147" s="10">
        <v>0</v>
      </c>
      <c r="J147" s="10">
        <v>147.66999999999999</v>
      </c>
      <c r="K147" s="10">
        <v>147.66999999999999</v>
      </c>
      <c r="M147" s="10">
        <v>0</v>
      </c>
      <c r="N147" s="10">
        <v>210.81717</v>
      </c>
      <c r="O147" s="10">
        <v>210.81717</v>
      </c>
      <c r="Q147" s="10">
        <v>0</v>
      </c>
      <c r="R147" s="10">
        <v>1677.46</v>
      </c>
      <c r="S147" s="10">
        <v>1677.46</v>
      </c>
    </row>
    <row r="148" spans="1:19" x14ac:dyDescent="0.2">
      <c r="A148" s="9" t="s">
        <v>296</v>
      </c>
      <c r="B148" s="9" t="s">
        <v>297</v>
      </c>
      <c r="C148" s="9">
        <v>7</v>
      </c>
      <c r="D148" s="9">
        <v>0</v>
      </c>
      <c r="E148" s="9">
        <v>10</v>
      </c>
      <c r="F148" s="9">
        <v>17</v>
      </c>
      <c r="H148" s="10">
        <v>86.71</v>
      </c>
      <c r="I148" s="10">
        <v>0</v>
      </c>
      <c r="J148" s="10">
        <v>124.1</v>
      </c>
      <c r="K148" s="10">
        <v>108.7</v>
      </c>
      <c r="M148" s="10">
        <v>102</v>
      </c>
      <c r="N148" s="10">
        <v>119.36308</v>
      </c>
      <c r="O148" s="10">
        <v>112.21358000000001</v>
      </c>
      <c r="Q148" s="10">
        <v>1239.8900000000001</v>
      </c>
      <c r="R148" s="10">
        <v>1084.3800000000001</v>
      </c>
      <c r="S148" s="10">
        <v>1148.4100000000001</v>
      </c>
    </row>
    <row r="149" spans="1:19" x14ac:dyDescent="0.2">
      <c r="A149" s="9" t="s">
        <v>298</v>
      </c>
      <c r="B149" s="9" t="s">
        <v>299</v>
      </c>
      <c r="C149" s="9">
        <v>1</v>
      </c>
      <c r="D149" s="9">
        <v>0</v>
      </c>
      <c r="E149" s="9">
        <v>96</v>
      </c>
      <c r="F149" s="9">
        <v>97</v>
      </c>
      <c r="H149" s="10">
        <v>0</v>
      </c>
      <c r="I149" s="10">
        <v>0</v>
      </c>
      <c r="J149" s="10">
        <v>95.37</v>
      </c>
      <c r="K149" s="10">
        <v>95.37</v>
      </c>
      <c r="M149" s="10">
        <v>0</v>
      </c>
      <c r="N149" s="10">
        <v>179.06107999999998</v>
      </c>
      <c r="O149" s="10">
        <v>179.06107999999998</v>
      </c>
      <c r="Q149" s="10">
        <v>0</v>
      </c>
      <c r="R149" s="10">
        <v>1868.78</v>
      </c>
      <c r="S149" s="10">
        <v>1868.78</v>
      </c>
    </row>
    <row r="150" spans="1:19" x14ac:dyDescent="0.2">
      <c r="A150" s="9" t="s">
        <v>300</v>
      </c>
      <c r="B150" s="9" t="s">
        <v>301</v>
      </c>
      <c r="C150" s="9">
        <v>131</v>
      </c>
      <c r="D150" s="9">
        <v>9</v>
      </c>
      <c r="E150" s="9">
        <v>72</v>
      </c>
      <c r="F150" s="9">
        <v>212</v>
      </c>
      <c r="H150" s="10">
        <v>105.13</v>
      </c>
      <c r="I150" s="10">
        <v>102</v>
      </c>
      <c r="J150" s="10">
        <v>91.1</v>
      </c>
      <c r="K150" s="10">
        <v>100.39</v>
      </c>
      <c r="M150" s="10">
        <v>303.96012000000002</v>
      </c>
      <c r="N150" s="10">
        <v>230.80020000000002</v>
      </c>
      <c r="O150" s="10">
        <v>278.82312000000002</v>
      </c>
      <c r="Q150" s="10">
        <v>2942</v>
      </c>
      <c r="R150" s="10">
        <v>2693.07</v>
      </c>
      <c r="S150" s="10">
        <v>2856.47</v>
      </c>
    </row>
    <row r="151" spans="1:19" x14ac:dyDescent="0.2">
      <c r="A151" s="9" t="s">
        <v>302</v>
      </c>
      <c r="B151" s="9" t="s">
        <v>303</v>
      </c>
      <c r="C151" s="9">
        <v>4</v>
      </c>
      <c r="D151" s="9">
        <v>0</v>
      </c>
      <c r="E151" s="9">
        <v>20</v>
      </c>
      <c r="F151" s="9">
        <v>24</v>
      </c>
      <c r="H151" s="10">
        <v>185.67</v>
      </c>
      <c r="I151" s="10">
        <v>0</v>
      </c>
      <c r="J151" s="10">
        <v>187.79</v>
      </c>
      <c r="K151" s="10">
        <v>187.5</v>
      </c>
      <c r="M151" s="10">
        <v>242.33332999999999</v>
      </c>
      <c r="N151" s="10">
        <v>253.72764000000001</v>
      </c>
      <c r="O151" s="10">
        <v>252.17386999999999</v>
      </c>
      <c r="Q151" s="10">
        <v>1488.47</v>
      </c>
      <c r="R151" s="10">
        <v>1607.52</v>
      </c>
      <c r="S151" s="10">
        <v>1591.29</v>
      </c>
    </row>
    <row r="152" spans="1:19" x14ac:dyDescent="0.2">
      <c r="A152" s="9" t="s">
        <v>304</v>
      </c>
      <c r="B152" s="9" t="s">
        <v>305</v>
      </c>
      <c r="C152" s="9">
        <v>7</v>
      </c>
      <c r="D152" s="9">
        <v>1</v>
      </c>
      <c r="E152" s="9">
        <v>13</v>
      </c>
      <c r="F152" s="9">
        <v>21</v>
      </c>
      <c r="H152" s="10">
        <v>96.67</v>
      </c>
      <c r="I152" s="10">
        <v>69</v>
      </c>
      <c r="J152" s="10">
        <v>139.38</v>
      </c>
      <c r="K152" s="10">
        <v>123.05</v>
      </c>
      <c r="M152" s="10">
        <v>143</v>
      </c>
      <c r="N152" s="10">
        <v>153.26364000000001</v>
      </c>
      <c r="O152" s="10">
        <v>150.05625000000001</v>
      </c>
      <c r="Q152" s="10">
        <v>1512.65</v>
      </c>
      <c r="R152" s="10">
        <v>1193.82</v>
      </c>
      <c r="S152" s="10">
        <v>1293.45</v>
      </c>
    </row>
    <row r="153" spans="1:19" x14ac:dyDescent="0.2">
      <c r="A153" s="9" t="s">
        <v>306</v>
      </c>
      <c r="B153" s="9" t="s">
        <v>307</v>
      </c>
      <c r="C153" s="9">
        <v>0</v>
      </c>
      <c r="D153" s="9">
        <v>0</v>
      </c>
      <c r="E153" s="9">
        <v>6</v>
      </c>
      <c r="F153" s="9">
        <v>6</v>
      </c>
      <c r="H153" s="10">
        <v>0</v>
      </c>
      <c r="I153" s="10">
        <v>0</v>
      </c>
      <c r="J153" s="10">
        <v>130.66999999999999</v>
      </c>
      <c r="K153" s="10">
        <v>130.66999999999999</v>
      </c>
      <c r="M153" s="10">
        <v>0</v>
      </c>
      <c r="N153" s="10">
        <v>132.96</v>
      </c>
      <c r="O153" s="10">
        <v>132.96</v>
      </c>
      <c r="Q153" s="10">
        <v>0</v>
      </c>
      <c r="R153" s="10">
        <v>853.77</v>
      </c>
      <c r="S153" s="10">
        <v>853.77</v>
      </c>
    </row>
    <row r="154" spans="1:19" x14ac:dyDescent="0.2">
      <c r="A154" s="9" t="s">
        <v>308</v>
      </c>
      <c r="B154" s="9" t="s">
        <v>309</v>
      </c>
      <c r="C154" s="9">
        <v>2</v>
      </c>
      <c r="D154" s="9">
        <v>0</v>
      </c>
      <c r="E154" s="9">
        <v>16</v>
      </c>
      <c r="F154" s="9">
        <v>18</v>
      </c>
      <c r="H154" s="10">
        <v>171</v>
      </c>
      <c r="I154" s="10">
        <v>0</v>
      </c>
      <c r="J154" s="10">
        <v>70.67</v>
      </c>
      <c r="K154" s="10">
        <v>76.94</v>
      </c>
      <c r="M154" s="10">
        <v>0</v>
      </c>
      <c r="N154" s="10">
        <v>74.866669999999999</v>
      </c>
      <c r="O154" s="10">
        <v>78.7</v>
      </c>
      <c r="Q154" s="10">
        <v>0</v>
      </c>
      <c r="R154" s="10">
        <v>1098.51</v>
      </c>
      <c r="S154" s="10">
        <v>1079.6300000000001</v>
      </c>
    </row>
    <row r="155" spans="1:19" x14ac:dyDescent="0.2">
      <c r="A155" s="9" t="s">
        <v>310</v>
      </c>
      <c r="B155" s="9" t="s">
        <v>311</v>
      </c>
      <c r="C155" s="9">
        <v>25</v>
      </c>
      <c r="D155" s="9">
        <v>1</v>
      </c>
      <c r="E155" s="9">
        <v>52</v>
      </c>
      <c r="F155" s="9">
        <v>78</v>
      </c>
      <c r="H155" s="10">
        <v>65.680000000000007</v>
      </c>
      <c r="I155" s="10">
        <v>0</v>
      </c>
      <c r="J155" s="10">
        <v>90.56</v>
      </c>
      <c r="K155" s="10">
        <v>81.14</v>
      </c>
      <c r="M155" s="10">
        <v>150.06978000000001</v>
      </c>
      <c r="N155" s="10">
        <v>251.12246999999999</v>
      </c>
      <c r="O155" s="10">
        <v>212.25604999999999</v>
      </c>
      <c r="Q155" s="10">
        <v>2161.71</v>
      </c>
      <c r="R155" s="10">
        <v>2872.25</v>
      </c>
      <c r="S155" s="10">
        <v>2598.9699999999998</v>
      </c>
    </row>
    <row r="156" spans="1:19" x14ac:dyDescent="0.2">
      <c r="A156" s="9" t="s">
        <v>312</v>
      </c>
      <c r="B156" s="9" t="s">
        <v>313</v>
      </c>
      <c r="C156" s="9">
        <v>12</v>
      </c>
      <c r="D156" s="9">
        <v>0</v>
      </c>
      <c r="E156" s="9">
        <v>32</v>
      </c>
      <c r="F156" s="9">
        <v>44</v>
      </c>
      <c r="H156" s="10">
        <v>125</v>
      </c>
      <c r="I156" s="10">
        <v>0</v>
      </c>
      <c r="J156" s="10">
        <v>142.22</v>
      </c>
      <c r="K156" s="10">
        <v>137.57</v>
      </c>
      <c r="M156" s="10">
        <v>692.74802</v>
      </c>
      <c r="N156" s="10">
        <v>485.95832999999999</v>
      </c>
      <c r="O156" s="10">
        <v>546.77882999999997</v>
      </c>
      <c r="Q156" s="10">
        <v>5562.92</v>
      </c>
      <c r="R156" s="10">
        <v>3664.7</v>
      </c>
      <c r="S156" s="10">
        <v>4223</v>
      </c>
    </row>
    <row r="157" spans="1:19" x14ac:dyDescent="0.2">
      <c r="A157" s="9" t="s">
        <v>314</v>
      </c>
      <c r="B157" s="9" t="s">
        <v>315</v>
      </c>
      <c r="C157" s="9">
        <v>0</v>
      </c>
      <c r="D157" s="9">
        <v>0</v>
      </c>
      <c r="E157" s="9">
        <v>78</v>
      </c>
      <c r="F157" s="9">
        <v>78</v>
      </c>
      <c r="H157" s="10">
        <v>0</v>
      </c>
      <c r="I157" s="10">
        <v>0</v>
      </c>
      <c r="J157" s="10">
        <v>103.36</v>
      </c>
      <c r="K157" s="10">
        <v>103.36</v>
      </c>
      <c r="M157" s="10">
        <v>0</v>
      </c>
      <c r="N157" s="10">
        <v>209.27850000000001</v>
      </c>
      <c r="O157" s="10">
        <v>209.27850000000001</v>
      </c>
      <c r="Q157" s="10">
        <v>0</v>
      </c>
      <c r="R157" s="10">
        <v>2259.66</v>
      </c>
      <c r="S157" s="10">
        <v>2259.66</v>
      </c>
    </row>
    <row r="158" spans="1:19" x14ac:dyDescent="0.2">
      <c r="A158" s="9" t="s">
        <v>316</v>
      </c>
      <c r="B158" s="9" t="s">
        <v>317</v>
      </c>
      <c r="C158" s="9">
        <v>5</v>
      </c>
      <c r="D158" s="9">
        <v>0</v>
      </c>
      <c r="E158" s="9">
        <v>11</v>
      </c>
      <c r="F158" s="9">
        <v>16</v>
      </c>
      <c r="H158" s="10">
        <v>137.19999999999999</v>
      </c>
      <c r="I158" s="10">
        <v>0</v>
      </c>
      <c r="J158" s="10">
        <v>104.55</v>
      </c>
      <c r="K158" s="10">
        <v>114.75</v>
      </c>
      <c r="M158" s="10">
        <v>393.63920000000002</v>
      </c>
      <c r="N158" s="10">
        <v>253.10909000000001</v>
      </c>
      <c r="O158" s="10">
        <v>297.02474999999998</v>
      </c>
      <c r="Q158" s="10">
        <v>2873.27</v>
      </c>
      <c r="R158" s="10">
        <v>2426.7199999999998</v>
      </c>
      <c r="S158" s="10">
        <v>2566.27</v>
      </c>
    </row>
    <row r="159" spans="1:19" x14ac:dyDescent="0.2">
      <c r="A159" s="9" t="s">
        <v>318</v>
      </c>
      <c r="B159" s="9" t="s">
        <v>319</v>
      </c>
      <c r="C159" s="9">
        <v>1</v>
      </c>
      <c r="D159" s="9">
        <v>0</v>
      </c>
      <c r="E159" s="9">
        <v>46</v>
      </c>
      <c r="F159" s="9">
        <v>47</v>
      </c>
      <c r="H159" s="10">
        <v>75</v>
      </c>
      <c r="I159" s="10">
        <v>0</v>
      </c>
      <c r="J159" s="10">
        <v>137.5</v>
      </c>
      <c r="K159" s="10">
        <v>136.11000000000001</v>
      </c>
      <c r="M159" s="10">
        <v>0</v>
      </c>
      <c r="N159" s="10">
        <v>330.84487999999999</v>
      </c>
      <c r="O159" s="10">
        <v>329.04833000000002</v>
      </c>
      <c r="Q159" s="10">
        <v>0</v>
      </c>
      <c r="R159" s="10">
        <v>2672.53</v>
      </c>
      <c r="S159" s="10">
        <v>2687.21</v>
      </c>
    </row>
    <row r="160" spans="1:19" x14ac:dyDescent="0.2">
      <c r="A160" s="9" t="s">
        <v>320</v>
      </c>
      <c r="B160" s="9" t="s">
        <v>321</v>
      </c>
      <c r="C160" s="9">
        <v>7</v>
      </c>
      <c r="D160" s="9">
        <v>0</v>
      </c>
      <c r="E160" s="9">
        <v>19</v>
      </c>
      <c r="F160" s="9">
        <v>26</v>
      </c>
      <c r="H160" s="10">
        <v>86.57</v>
      </c>
      <c r="I160" s="10">
        <v>0</v>
      </c>
      <c r="J160" s="10">
        <v>111.2</v>
      </c>
      <c r="K160" s="10">
        <v>103.36</v>
      </c>
      <c r="M160" s="10">
        <v>89.157289999999989</v>
      </c>
      <c r="N160" s="10">
        <v>157.53514000000001</v>
      </c>
      <c r="O160" s="10">
        <v>135.77855</v>
      </c>
      <c r="Q160" s="10">
        <v>1006.44</v>
      </c>
      <c r="R160" s="10">
        <v>1523.63</v>
      </c>
      <c r="S160" s="10">
        <v>1359.07</v>
      </c>
    </row>
    <row r="161" spans="1:19" x14ac:dyDescent="0.2">
      <c r="A161" s="9" t="s">
        <v>322</v>
      </c>
      <c r="B161" s="9" t="s">
        <v>323</v>
      </c>
      <c r="C161" s="9">
        <v>8</v>
      </c>
      <c r="D161" s="9">
        <v>0</v>
      </c>
      <c r="E161" s="9">
        <v>25</v>
      </c>
      <c r="F161" s="9">
        <v>33</v>
      </c>
      <c r="H161" s="10">
        <v>67.38</v>
      </c>
      <c r="I161" s="10">
        <v>0</v>
      </c>
      <c r="J161" s="10">
        <v>71.45</v>
      </c>
      <c r="K161" s="10">
        <v>70.36</v>
      </c>
      <c r="M161" s="10">
        <v>53.1875</v>
      </c>
      <c r="N161" s="10">
        <v>77.635829999999999</v>
      </c>
      <c r="O161" s="10">
        <v>71.116280000000003</v>
      </c>
      <c r="Q161" s="10">
        <v>810.25</v>
      </c>
      <c r="R161" s="10">
        <v>1088.3599999999999</v>
      </c>
      <c r="S161" s="10">
        <v>1014.2</v>
      </c>
    </row>
    <row r="162" spans="1:19" x14ac:dyDescent="0.2">
      <c r="A162" s="9" t="s">
        <v>324</v>
      </c>
      <c r="B162" s="9" t="s">
        <v>325</v>
      </c>
      <c r="C162" s="9">
        <v>1</v>
      </c>
      <c r="D162" s="9">
        <v>0</v>
      </c>
      <c r="E162" s="9">
        <v>16</v>
      </c>
      <c r="F162" s="9">
        <v>17</v>
      </c>
      <c r="H162" s="10">
        <v>176</v>
      </c>
      <c r="I162" s="10">
        <v>0</v>
      </c>
      <c r="J162" s="10">
        <v>155.85</v>
      </c>
      <c r="K162" s="10">
        <v>157.29</v>
      </c>
      <c r="M162" s="10">
        <v>0</v>
      </c>
      <c r="N162" s="10">
        <v>319.31272999999999</v>
      </c>
      <c r="O162" s="10">
        <v>319.36182000000002</v>
      </c>
      <c r="Q162" s="10">
        <v>0</v>
      </c>
      <c r="R162" s="10">
        <v>2184.2399999999998</v>
      </c>
      <c r="S162" s="10">
        <v>2158.09</v>
      </c>
    </row>
    <row r="163" spans="1:19" x14ac:dyDescent="0.2">
      <c r="A163" s="9" t="s">
        <v>326</v>
      </c>
      <c r="B163" s="9" t="s">
        <v>327</v>
      </c>
      <c r="C163" s="9">
        <v>14</v>
      </c>
      <c r="D163" s="9">
        <v>0</v>
      </c>
      <c r="E163" s="9">
        <v>33</v>
      </c>
      <c r="F163" s="9">
        <v>47</v>
      </c>
      <c r="H163" s="10">
        <v>119.78</v>
      </c>
      <c r="I163" s="10">
        <v>0</v>
      </c>
      <c r="J163" s="10">
        <v>100.46</v>
      </c>
      <c r="K163" s="10">
        <v>105.43</v>
      </c>
      <c r="M163" s="10">
        <v>169.55555999999999</v>
      </c>
      <c r="N163" s="10">
        <v>192.97450000000001</v>
      </c>
      <c r="O163" s="10">
        <v>186.77537000000001</v>
      </c>
      <c r="Q163" s="10">
        <v>1585.37</v>
      </c>
      <c r="R163" s="10">
        <v>2004.67</v>
      </c>
      <c r="S163" s="10">
        <v>1893.68</v>
      </c>
    </row>
    <row r="164" spans="1:19" x14ac:dyDescent="0.2">
      <c r="A164" s="9" t="s">
        <v>328</v>
      </c>
      <c r="B164" s="9" t="s">
        <v>329</v>
      </c>
      <c r="C164" s="9">
        <v>0</v>
      </c>
      <c r="D164" s="9">
        <v>0</v>
      </c>
      <c r="E164" s="9">
        <v>12</v>
      </c>
      <c r="F164" s="9">
        <v>12</v>
      </c>
      <c r="H164" s="10">
        <v>0</v>
      </c>
      <c r="I164" s="10">
        <v>0</v>
      </c>
      <c r="J164" s="10">
        <v>88.22</v>
      </c>
      <c r="K164" s="10">
        <v>88.22</v>
      </c>
      <c r="M164" s="10">
        <v>0</v>
      </c>
      <c r="N164" s="10">
        <v>200.47778</v>
      </c>
      <c r="O164" s="10">
        <v>200.47778</v>
      </c>
      <c r="Q164" s="10">
        <v>0</v>
      </c>
      <c r="R164" s="10">
        <v>2383.67</v>
      </c>
      <c r="S164" s="10">
        <v>2383.67</v>
      </c>
    </row>
    <row r="165" spans="1:19" x14ac:dyDescent="0.2">
      <c r="A165" s="9" t="s">
        <v>330</v>
      </c>
      <c r="B165" s="9" t="s">
        <v>331</v>
      </c>
      <c r="C165" s="9">
        <v>4</v>
      </c>
      <c r="D165" s="9">
        <v>0</v>
      </c>
      <c r="E165" s="9">
        <v>37</v>
      </c>
      <c r="F165" s="9">
        <v>41</v>
      </c>
      <c r="H165" s="10">
        <v>69.33</v>
      </c>
      <c r="I165" s="10">
        <v>0</v>
      </c>
      <c r="J165" s="10">
        <v>105.66</v>
      </c>
      <c r="K165" s="10">
        <v>102.79</v>
      </c>
      <c r="M165" s="10">
        <v>75.333330000000004</v>
      </c>
      <c r="N165" s="10">
        <v>107.11825</v>
      </c>
      <c r="O165" s="10">
        <v>104.54109</v>
      </c>
      <c r="Q165" s="10">
        <v>1180.1099999999999</v>
      </c>
      <c r="R165" s="10">
        <v>1093.54</v>
      </c>
      <c r="S165" s="10">
        <v>1100.56</v>
      </c>
    </row>
    <row r="166" spans="1:19" x14ac:dyDescent="0.2">
      <c r="A166" s="9" t="s">
        <v>332</v>
      </c>
      <c r="B166" s="9" t="s">
        <v>333</v>
      </c>
      <c r="C166" s="9">
        <v>5</v>
      </c>
      <c r="D166" s="9">
        <v>0</v>
      </c>
      <c r="E166" s="9">
        <v>206</v>
      </c>
      <c r="F166" s="9">
        <v>211</v>
      </c>
      <c r="H166" s="10">
        <v>66.75</v>
      </c>
      <c r="I166" s="10">
        <v>0</v>
      </c>
      <c r="J166" s="10">
        <v>63.88</v>
      </c>
      <c r="K166" s="10">
        <v>63.94</v>
      </c>
      <c r="M166" s="10">
        <v>182.64273</v>
      </c>
      <c r="N166" s="10">
        <v>128.64382000000001</v>
      </c>
      <c r="O166" s="10">
        <v>129.88516999999999</v>
      </c>
      <c r="Q166" s="10">
        <v>2712.64</v>
      </c>
      <c r="R166" s="10">
        <v>2044.86</v>
      </c>
      <c r="S166" s="10">
        <v>2060.21</v>
      </c>
    </row>
    <row r="167" spans="1:19" x14ac:dyDescent="0.2">
      <c r="A167" s="9" t="s">
        <v>334</v>
      </c>
      <c r="B167" s="9" t="s">
        <v>335</v>
      </c>
      <c r="C167" s="9">
        <v>0</v>
      </c>
      <c r="D167" s="9">
        <v>0</v>
      </c>
      <c r="E167" s="9">
        <v>22</v>
      </c>
      <c r="F167" s="9">
        <v>22</v>
      </c>
      <c r="H167" s="10">
        <v>0</v>
      </c>
      <c r="I167" s="10">
        <v>0</v>
      </c>
      <c r="J167" s="10">
        <v>150.57</v>
      </c>
      <c r="K167" s="10">
        <v>150.57</v>
      </c>
      <c r="M167" s="10">
        <v>0</v>
      </c>
      <c r="N167" s="10">
        <v>235.83332999999999</v>
      </c>
      <c r="O167" s="10">
        <v>235.83332999999999</v>
      </c>
      <c r="Q167" s="10">
        <v>0</v>
      </c>
      <c r="R167" s="10">
        <v>1523.56</v>
      </c>
      <c r="S167" s="10">
        <v>1523.56</v>
      </c>
    </row>
    <row r="168" spans="1:19" x14ac:dyDescent="0.2">
      <c r="A168" s="9" t="s">
        <v>336</v>
      </c>
      <c r="B168" s="9" t="s">
        <v>337</v>
      </c>
      <c r="C168" s="9">
        <v>3</v>
      </c>
      <c r="D168" s="9">
        <v>0</v>
      </c>
      <c r="E168" s="9">
        <v>23</v>
      </c>
      <c r="F168" s="9">
        <v>26</v>
      </c>
      <c r="H168" s="10">
        <v>205.67</v>
      </c>
      <c r="I168" s="10">
        <v>0</v>
      </c>
      <c r="J168" s="10">
        <v>154.32</v>
      </c>
      <c r="K168" s="10">
        <v>160.47999999999999</v>
      </c>
      <c r="M168" s="10">
        <v>236.667</v>
      </c>
      <c r="N168" s="10">
        <v>192.14467999999999</v>
      </c>
      <c r="O168" s="10">
        <v>197.48736</v>
      </c>
      <c r="Q168" s="10">
        <v>1185.74</v>
      </c>
      <c r="R168" s="10">
        <v>1378.06</v>
      </c>
      <c r="S168" s="10">
        <v>1354.98</v>
      </c>
    </row>
    <row r="169" spans="1:19" x14ac:dyDescent="0.2">
      <c r="A169" s="9" t="s">
        <v>338</v>
      </c>
      <c r="B169" s="9" t="s">
        <v>339</v>
      </c>
      <c r="C169" s="9">
        <v>5</v>
      </c>
      <c r="D169" s="9">
        <v>0</v>
      </c>
      <c r="E169" s="9">
        <v>19</v>
      </c>
      <c r="F169" s="9">
        <v>24</v>
      </c>
      <c r="H169" s="10">
        <v>67</v>
      </c>
      <c r="I169" s="10">
        <v>0</v>
      </c>
      <c r="J169" s="10">
        <v>89.56</v>
      </c>
      <c r="K169" s="10">
        <v>85.05</v>
      </c>
      <c r="M169" s="10">
        <v>44.5</v>
      </c>
      <c r="N169" s="10">
        <v>75.139610000000005</v>
      </c>
      <c r="O169" s="10">
        <v>68.689170000000004</v>
      </c>
      <c r="Q169" s="10">
        <v>658.35</v>
      </c>
      <c r="R169" s="10">
        <v>873.49</v>
      </c>
      <c r="S169" s="10">
        <v>828.2</v>
      </c>
    </row>
    <row r="170" spans="1:19" x14ac:dyDescent="0.2">
      <c r="A170" s="9" t="s">
        <v>340</v>
      </c>
      <c r="B170" s="9" t="s">
        <v>341</v>
      </c>
      <c r="C170" s="9">
        <v>5</v>
      </c>
      <c r="D170" s="9">
        <v>0</v>
      </c>
      <c r="E170" s="9">
        <v>11</v>
      </c>
      <c r="F170" s="9">
        <v>16</v>
      </c>
      <c r="H170" s="10">
        <v>118</v>
      </c>
      <c r="I170" s="10">
        <v>0</v>
      </c>
      <c r="J170" s="10">
        <v>94.38</v>
      </c>
      <c r="K170" s="10">
        <v>103.46</v>
      </c>
      <c r="M170" s="10">
        <v>209</v>
      </c>
      <c r="N170" s="10">
        <v>110.9</v>
      </c>
      <c r="O170" s="10">
        <v>148.63076999999998</v>
      </c>
      <c r="Q170" s="10">
        <v>1755.6</v>
      </c>
      <c r="R170" s="10">
        <v>1155.1400000000001</v>
      </c>
      <c r="S170" s="10">
        <v>1386.09</v>
      </c>
    </row>
    <row r="171" spans="1:19" x14ac:dyDescent="0.2">
      <c r="A171" s="9" t="s">
        <v>342</v>
      </c>
      <c r="B171" s="9" t="s">
        <v>343</v>
      </c>
      <c r="C171" s="9">
        <v>9</v>
      </c>
      <c r="D171" s="9">
        <v>0</v>
      </c>
      <c r="E171" s="9">
        <v>27</v>
      </c>
      <c r="F171" s="9">
        <v>36</v>
      </c>
      <c r="H171" s="10">
        <v>129.25</v>
      </c>
      <c r="I171" s="10">
        <v>0</v>
      </c>
      <c r="J171" s="10">
        <v>174.19</v>
      </c>
      <c r="K171" s="10">
        <v>163.62</v>
      </c>
      <c r="M171" s="10">
        <v>182.89036999999999</v>
      </c>
      <c r="N171" s="10">
        <v>187.65346</v>
      </c>
      <c r="O171" s="10">
        <v>186.53273000000002</v>
      </c>
      <c r="Q171" s="10">
        <v>1636.65</v>
      </c>
      <c r="R171" s="10">
        <v>1220.3800000000001</v>
      </c>
      <c r="S171" s="10">
        <v>1318.33</v>
      </c>
    </row>
    <row r="172" spans="1:19" x14ac:dyDescent="0.2">
      <c r="A172" s="9" t="s">
        <v>344</v>
      </c>
      <c r="B172" s="9" t="s">
        <v>345</v>
      </c>
      <c r="C172" s="9">
        <v>12</v>
      </c>
      <c r="D172" s="9">
        <v>2</v>
      </c>
      <c r="E172" s="9">
        <v>31</v>
      </c>
      <c r="F172" s="9">
        <v>45</v>
      </c>
      <c r="H172" s="10">
        <v>82.9</v>
      </c>
      <c r="I172" s="10">
        <v>86</v>
      </c>
      <c r="J172" s="10">
        <v>114.58</v>
      </c>
      <c r="K172" s="10">
        <v>105.25</v>
      </c>
      <c r="M172" s="10">
        <v>148.32</v>
      </c>
      <c r="N172" s="10">
        <v>181.32808</v>
      </c>
      <c r="O172" s="10">
        <v>171.61982</v>
      </c>
      <c r="Q172" s="10">
        <v>1715.21</v>
      </c>
      <c r="R172" s="10">
        <v>1666.11</v>
      </c>
      <c r="S172" s="10">
        <v>1680.55</v>
      </c>
    </row>
    <row r="173" spans="1:19" x14ac:dyDescent="0.2">
      <c r="A173" s="9" t="s">
        <v>346</v>
      </c>
      <c r="B173" s="9" t="s">
        <v>347</v>
      </c>
      <c r="C173" s="9">
        <v>6</v>
      </c>
      <c r="D173" s="9">
        <v>1</v>
      </c>
      <c r="E173" s="9">
        <v>13</v>
      </c>
      <c r="F173" s="9">
        <v>20</v>
      </c>
      <c r="H173" s="10">
        <v>90</v>
      </c>
      <c r="I173" s="10">
        <v>90</v>
      </c>
      <c r="J173" s="10">
        <v>81.23</v>
      </c>
      <c r="K173" s="10">
        <v>84.3</v>
      </c>
      <c r="M173" s="10">
        <v>89.826669999999993</v>
      </c>
      <c r="N173" s="10">
        <v>116.93338</v>
      </c>
      <c r="O173" s="10">
        <v>108.37336999999999</v>
      </c>
      <c r="Q173" s="10">
        <v>968.66</v>
      </c>
      <c r="R173" s="10">
        <v>1553.36</v>
      </c>
      <c r="S173" s="10">
        <v>1368.72</v>
      </c>
    </row>
    <row r="174" spans="1:19" x14ac:dyDescent="0.2">
      <c r="A174" s="9" t="s">
        <v>348</v>
      </c>
      <c r="B174" s="9" t="s">
        <v>349</v>
      </c>
      <c r="C174" s="9">
        <v>3</v>
      </c>
      <c r="D174" s="9">
        <v>1</v>
      </c>
      <c r="E174" s="9">
        <v>11</v>
      </c>
      <c r="F174" s="9">
        <v>15</v>
      </c>
      <c r="H174" s="10">
        <v>75.67</v>
      </c>
      <c r="I174" s="10">
        <v>110</v>
      </c>
      <c r="J174" s="10">
        <v>83.09</v>
      </c>
      <c r="K174" s="10">
        <v>83.4</v>
      </c>
      <c r="M174" s="10">
        <v>128.16667000000001</v>
      </c>
      <c r="N174" s="10">
        <v>135.25</v>
      </c>
      <c r="O174" s="10">
        <v>133.31817999999998</v>
      </c>
      <c r="Q174" s="10">
        <v>1677.84</v>
      </c>
      <c r="R174" s="10">
        <v>1537.14</v>
      </c>
      <c r="S174" s="10">
        <v>1575.51</v>
      </c>
    </row>
    <row r="175" spans="1:19" x14ac:dyDescent="0.2">
      <c r="A175" s="9" t="s">
        <v>350</v>
      </c>
      <c r="B175" s="9" t="s">
        <v>351</v>
      </c>
      <c r="C175" s="9">
        <v>0</v>
      </c>
      <c r="D175" s="9">
        <v>0</v>
      </c>
      <c r="E175" s="9">
        <v>10</v>
      </c>
      <c r="F175" s="9">
        <v>10</v>
      </c>
      <c r="H175" s="10">
        <v>0</v>
      </c>
      <c r="I175" s="10">
        <v>0</v>
      </c>
      <c r="J175" s="10">
        <v>139.33000000000001</v>
      </c>
      <c r="K175" s="10">
        <v>139.33000000000001</v>
      </c>
      <c r="M175" s="10">
        <v>0</v>
      </c>
      <c r="N175" s="10">
        <v>193.45652999999999</v>
      </c>
      <c r="O175" s="10">
        <v>193.45652999999999</v>
      </c>
      <c r="Q175" s="10">
        <v>0</v>
      </c>
      <c r="R175" s="10">
        <v>1393.78</v>
      </c>
      <c r="S175" s="10">
        <v>1393.78</v>
      </c>
    </row>
    <row r="176" spans="1:19" x14ac:dyDescent="0.2">
      <c r="A176" s="9" t="s">
        <v>352</v>
      </c>
      <c r="B176" s="9" t="s">
        <v>353</v>
      </c>
      <c r="C176" s="9">
        <v>1</v>
      </c>
      <c r="D176" s="9">
        <v>0</v>
      </c>
      <c r="E176" s="9">
        <v>5</v>
      </c>
      <c r="F176" s="9">
        <v>6</v>
      </c>
      <c r="H176" s="10">
        <v>90</v>
      </c>
      <c r="I176" s="10">
        <v>0</v>
      </c>
      <c r="J176" s="10">
        <v>81.5</v>
      </c>
      <c r="K176" s="10">
        <v>83.2</v>
      </c>
      <c r="M176" s="10">
        <v>0</v>
      </c>
      <c r="N176" s="10">
        <v>62.953360000000004</v>
      </c>
      <c r="O176" s="10">
        <v>64.642690000000002</v>
      </c>
      <c r="Q176" s="10">
        <v>0</v>
      </c>
      <c r="R176" s="10">
        <v>700.06</v>
      </c>
      <c r="S176" s="10">
        <v>718.71</v>
      </c>
    </row>
    <row r="177" spans="1:19" x14ac:dyDescent="0.2">
      <c r="A177" s="9" t="s">
        <v>354</v>
      </c>
      <c r="B177" s="9" t="s">
        <v>355</v>
      </c>
      <c r="C177" s="9">
        <v>0</v>
      </c>
      <c r="D177" s="9">
        <v>0</v>
      </c>
      <c r="E177" s="9">
        <v>19</v>
      </c>
      <c r="F177" s="9">
        <v>19</v>
      </c>
      <c r="H177" s="10">
        <v>0</v>
      </c>
      <c r="I177" s="10">
        <v>0</v>
      </c>
      <c r="J177" s="10">
        <v>117.21</v>
      </c>
      <c r="K177" s="10">
        <v>117.21</v>
      </c>
      <c r="M177" s="10">
        <v>0</v>
      </c>
      <c r="N177" s="10">
        <v>201.14929000000001</v>
      </c>
      <c r="O177" s="10">
        <v>201.14929000000001</v>
      </c>
      <c r="Q177" s="10">
        <v>0</v>
      </c>
      <c r="R177" s="10">
        <v>1844.38</v>
      </c>
      <c r="S177" s="10">
        <v>1844.38</v>
      </c>
    </row>
    <row r="178" spans="1:19" x14ac:dyDescent="0.2">
      <c r="A178" s="9" t="s">
        <v>356</v>
      </c>
      <c r="B178" s="9" t="s">
        <v>357</v>
      </c>
      <c r="C178" s="9">
        <v>3</v>
      </c>
      <c r="D178" s="9">
        <v>0</v>
      </c>
      <c r="E178" s="9">
        <v>26</v>
      </c>
      <c r="F178" s="9">
        <v>29</v>
      </c>
      <c r="H178" s="10">
        <v>92</v>
      </c>
      <c r="I178" s="10">
        <v>0</v>
      </c>
      <c r="J178" s="10">
        <v>83.08</v>
      </c>
      <c r="K178" s="10">
        <v>84.04</v>
      </c>
      <c r="M178" s="10">
        <v>50.5</v>
      </c>
      <c r="N178" s="10">
        <v>95.066670000000002</v>
      </c>
      <c r="O178" s="10">
        <v>87.638890000000004</v>
      </c>
      <c r="Q178" s="10">
        <v>565.03</v>
      </c>
      <c r="R178" s="10">
        <v>1051.3800000000001</v>
      </c>
      <c r="S178" s="10">
        <v>970.32</v>
      </c>
    </row>
    <row r="179" spans="1:19" x14ac:dyDescent="0.2">
      <c r="A179" s="9" t="s">
        <v>358</v>
      </c>
      <c r="B179" s="9" t="s">
        <v>359</v>
      </c>
      <c r="C179" s="9">
        <v>2</v>
      </c>
      <c r="D179" s="9">
        <v>0</v>
      </c>
      <c r="E179" s="9">
        <v>14</v>
      </c>
      <c r="F179" s="9">
        <v>16</v>
      </c>
      <c r="H179" s="10">
        <v>125.5</v>
      </c>
      <c r="I179" s="10">
        <v>0</v>
      </c>
      <c r="J179" s="10">
        <v>131.72999999999999</v>
      </c>
      <c r="K179" s="10">
        <v>130.77000000000001</v>
      </c>
      <c r="M179" s="10">
        <v>0</v>
      </c>
      <c r="N179" s="10">
        <v>146.54764</v>
      </c>
      <c r="O179" s="10">
        <v>141.61723000000001</v>
      </c>
      <c r="Q179" s="10">
        <v>0</v>
      </c>
      <c r="R179" s="10">
        <v>1220.47</v>
      </c>
      <c r="S179" s="10">
        <v>1189.08</v>
      </c>
    </row>
    <row r="180" spans="1:19" x14ac:dyDescent="0.2">
      <c r="A180" s="9" t="s">
        <v>360</v>
      </c>
      <c r="B180" s="9" t="s">
        <v>361</v>
      </c>
      <c r="C180" s="9">
        <v>49</v>
      </c>
      <c r="D180" s="9">
        <v>0</v>
      </c>
      <c r="E180" s="9">
        <v>87</v>
      </c>
      <c r="F180" s="9">
        <v>136</v>
      </c>
      <c r="H180" s="10">
        <v>103.63</v>
      </c>
      <c r="I180" s="10">
        <v>0</v>
      </c>
      <c r="J180" s="10">
        <v>92.64</v>
      </c>
      <c r="K180" s="10">
        <v>96.75</v>
      </c>
      <c r="M180" s="10">
        <v>455.08684999999997</v>
      </c>
      <c r="N180" s="10">
        <v>390.44308000000001</v>
      </c>
      <c r="O180" s="10">
        <v>414.81695999999999</v>
      </c>
      <c r="Q180" s="10">
        <v>4381.75</v>
      </c>
      <c r="R180" s="10">
        <v>4371.07</v>
      </c>
      <c r="S180" s="10">
        <v>4375.1000000000004</v>
      </c>
    </row>
    <row r="181" spans="1:19" x14ac:dyDescent="0.2">
      <c r="A181" s="9" t="s">
        <v>362</v>
      </c>
      <c r="B181" s="9" t="s">
        <v>363</v>
      </c>
      <c r="C181" s="9">
        <v>1</v>
      </c>
      <c r="D181" s="9">
        <v>0</v>
      </c>
      <c r="E181" s="9">
        <v>17</v>
      </c>
      <c r="F181" s="9">
        <v>18</v>
      </c>
      <c r="H181" s="10">
        <v>123</v>
      </c>
      <c r="I181" s="10">
        <v>0</v>
      </c>
      <c r="J181" s="10">
        <v>134</v>
      </c>
      <c r="K181" s="10">
        <v>133.35</v>
      </c>
      <c r="M181" s="10">
        <v>0</v>
      </c>
      <c r="N181" s="10">
        <v>95.187860000000001</v>
      </c>
      <c r="O181" s="10">
        <v>98.801119999999997</v>
      </c>
      <c r="Q181" s="10">
        <v>0</v>
      </c>
      <c r="R181" s="10">
        <v>744.02</v>
      </c>
      <c r="S181" s="10">
        <v>775.26</v>
      </c>
    </row>
    <row r="182" spans="1:19" x14ac:dyDescent="0.2">
      <c r="A182" s="9" t="s">
        <v>364</v>
      </c>
      <c r="B182" s="9" t="s">
        <v>365</v>
      </c>
      <c r="C182" s="9">
        <v>8</v>
      </c>
      <c r="D182" s="9">
        <v>0</v>
      </c>
      <c r="E182" s="9">
        <v>6</v>
      </c>
      <c r="F182" s="9">
        <v>14</v>
      </c>
      <c r="H182" s="10">
        <v>72</v>
      </c>
      <c r="I182" s="10">
        <v>0</v>
      </c>
      <c r="J182" s="10">
        <v>103.83</v>
      </c>
      <c r="K182" s="10">
        <v>86.69</v>
      </c>
      <c r="M182" s="10">
        <v>53.590609999999998</v>
      </c>
      <c r="N182" s="10">
        <v>96.648359999999997</v>
      </c>
      <c r="O182" s="10">
        <v>73.463419999999999</v>
      </c>
      <c r="Q182" s="10">
        <v>723.68</v>
      </c>
      <c r="R182" s="10">
        <v>1131.53</v>
      </c>
      <c r="S182" s="10">
        <v>911.92</v>
      </c>
    </row>
    <row r="183" spans="1:19" x14ac:dyDescent="0.2">
      <c r="A183" s="9" t="s">
        <v>366</v>
      </c>
      <c r="B183" s="9" t="s">
        <v>367</v>
      </c>
      <c r="C183" s="9">
        <v>4</v>
      </c>
      <c r="D183" s="9">
        <v>0</v>
      </c>
      <c r="E183" s="9">
        <v>7</v>
      </c>
      <c r="F183" s="9">
        <v>11</v>
      </c>
      <c r="H183" s="10">
        <v>122.25</v>
      </c>
      <c r="I183" s="10">
        <v>0</v>
      </c>
      <c r="J183" s="10">
        <v>90.17</v>
      </c>
      <c r="K183" s="10">
        <v>103</v>
      </c>
      <c r="M183" s="10">
        <v>177.25003000000001</v>
      </c>
      <c r="N183" s="10">
        <v>144.5</v>
      </c>
      <c r="O183" s="10">
        <v>157.60001</v>
      </c>
      <c r="Q183" s="10">
        <v>1792.15</v>
      </c>
      <c r="R183" s="10">
        <v>1619.82</v>
      </c>
      <c r="S183" s="10">
        <v>1688.75</v>
      </c>
    </row>
    <row r="184" spans="1:19" x14ac:dyDescent="0.2">
      <c r="A184" s="9" t="s">
        <v>368</v>
      </c>
      <c r="B184" s="9" t="s">
        <v>369</v>
      </c>
      <c r="C184" s="9">
        <v>47</v>
      </c>
      <c r="D184" s="9">
        <v>0</v>
      </c>
      <c r="E184" s="9">
        <v>290</v>
      </c>
      <c r="F184" s="9">
        <v>337</v>
      </c>
      <c r="H184" s="10">
        <v>97.37</v>
      </c>
      <c r="I184" s="10">
        <v>0</v>
      </c>
      <c r="J184" s="10">
        <v>83.2</v>
      </c>
      <c r="K184" s="10">
        <v>85.35</v>
      </c>
      <c r="M184" s="10">
        <v>160.57254</v>
      </c>
      <c r="N184" s="10">
        <v>106.53744999999999</v>
      </c>
      <c r="O184" s="10">
        <v>114.85054</v>
      </c>
      <c r="Q184" s="10">
        <v>1578.81</v>
      </c>
      <c r="R184" s="10">
        <v>1255.97</v>
      </c>
      <c r="S184" s="10">
        <v>1305.6400000000001</v>
      </c>
    </row>
    <row r="185" spans="1:19" x14ac:dyDescent="0.2">
      <c r="A185" s="9" t="s">
        <v>370</v>
      </c>
      <c r="B185" s="9" t="s">
        <v>371</v>
      </c>
      <c r="C185" s="9">
        <v>9</v>
      </c>
      <c r="D185" s="9">
        <v>0</v>
      </c>
      <c r="E185" s="9">
        <v>36</v>
      </c>
      <c r="F185" s="9">
        <v>45</v>
      </c>
      <c r="H185" s="10">
        <v>113</v>
      </c>
      <c r="I185" s="10">
        <v>0</v>
      </c>
      <c r="J185" s="10">
        <v>114.76</v>
      </c>
      <c r="K185" s="10">
        <v>114.27</v>
      </c>
      <c r="M185" s="10">
        <v>93.346670000000003</v>
      </c>
      <c r="N185" s="10">
        <v>79.273330000000001</v>
      </c>
      <c r="O185" s="10">
        <v>84.168399999999991</v>
      </c>
      <c r="Q185" s="10">
        <v>874.77</v>
      </c>
      <c r="R185" s="10">
        <v>775.74</v>
      </c>
      <c r="S185" s="10">
        <v>810.19</v>
      </c>
    </row>
    <row r="186" spans="1:19" x14ac:dyDescent="0.2">
      <c r="A186" s="9" t="s">
        <v>372</v>
      </c>
      <c r="B186" s="9" t="s">
        <v>373</v>
      </c>
      <c r="C186" s="9">
        <v>11</v>
      </c>
      <c r="D186" s="9">
        <v>0</v>
      </c>
      <c r="E186" s="9">
        <v>17</v>
      </c>
      <c r="F186" s="9">
        <v>28</v>
      </c>
      <c r="H186" s="10">
        <v>247.6</v>
      </c>
      <c r="I186" s="10">
        <v>0</v>
      </c>
      <c r="J186" s="10">
        <v>148.63999999999999</v>
      </c>
      <c r="K186" s="10">
        <v>189.87</v>
      </c>
      <c r="M186" s="10">
        <v>524.50030000000004</v>
      </c>
      <c r="N186" s="10">
        <v>378.286</v>
      </c>
      <c r="O186" s="10">
        <v>439.20862</v>
      </c>
      <c r="Q186" s="10">
        <v>2104.83</v>
      </c>
      <c r="R186" s="10">
        <v>2935.9</v>
      </c>
      <c r="S186" s="10">
        <v>2589.62</v>
      </c>
    </row>
    <row r="187" spans="1:19" x14ac:dyDescent="0.2">
      <c r="A187" s="9" t="s">
        <v>374</v>
      </c>
      <c r="B187" s="9" t="s">
        <v>375</v>
      </c>
      <c r="C187" s="9">
        <v>33</v>
      </c>
      <c r="D187" s="9">
        <v>1</v>
      </c>
      <c r="E187" s="9">
        <v>656</v>
      </c>
      <c r="F187" s="9">
        <v>690</v>
      </c>
      <c r="H187" s="10">
        <v>81.52</v>
      </c>
      <c r="I187" s="10">
        <v>68</v>
      </c>
      <c r="J187" s="10">
        <v>86.99</v>
      </c>
      <c r="K187" s="10">
        <v>86.75</v>
      </c>
      <c r="M187" s="10">
        <v>197.41561999999999</v>
      </c>
      <c r="N187" s="10">
        <v>135.48898</v>
      </c>
      <c r="O187" s="10">
        <v>137.92370000000003</v>
      </c>
      <c r="Q187" s="10">
        <v>2626.24</v>
      </c>
      <c r="R187" s="10">
        <v>1642.37</v>
      </c>
      <c r="S187" s="10">
        <v>1681.05</v>
      </c>
    </row>
    <row r="188" spans="1:19" x14ac:dyDescent="0.2">
      <c r="A188" s="9" t="s">
        <v>376</v>
      </c>
      <c r="B188" s="9" t="s">
        <v>377</v>
      </c>
      <c r="C188" s="9">
        <v>15</v>
      </c>
      <c r="D188" s="9">
        <v>0</v>
      </c>
      <c r="E188" s="9">
        <v>12</v>
      </c>
      <c r="F188" s="9">
        <v>27</v>
      </c>
      <c r="H188" s="10">
        <v>106.8</v>
      </c>
      <c r="I188" s="10">
        <v>0</v>
      </c>
      <c r="J188" s="10">
        <v>246.64</v>
      </c>
      <c r="K188" s="10">
        <v>165.96</v>
      </c>
      <c r="M188" s="10">
        <v>387.56538</v>
      </c>
      <c r="N188" s="10">
        <v>584.52417000000003</v>
      </c>
      <c r="O188" s="10">
        <v>470.89409999999998</v>
      </c>
      <c r="Q188" s="10">
        <v>3895.75</v>
      </c>
      <c r="R188" s="10">
        <v>2470.9499999999998</v>
      </c>
      <c r="S188" s="10">
        <v>3292.95</v>
      </c>
    </row>
    <row r="189" spans="1:19" x14ac:dyDescent="0.2">
      <c r="A189" s="9" t="s">
        <v>378</v>
      </c>
      <c r="B189" s="9" t="s">
        <v>379</v>
      </c>
      <c r="C189" s="9">
        <v>6</v>
      </c>
      <c r="D189" s="9">
        <v>0</v>
      </c>
      <c r="E189" s="9">
        <v>16</v>
      </c>
      <c r="F189" s="9">
        <v>22</v>
      </c>
      <c r="H189" s="10">
        <v>62.6</v>
      </c>
      <c r="I189" s="10">
        <v>0</v>
      </c>
      <c r="J189" s="10">
        <v>106.79</v>
      </c>
      <c r="K189" s="10">
        <v>95.16</v>
      </c>
      <c r="M189" s="10">
        <v>104.92319999999999</v>
      </c>
      <c r="N189" s="10">
        <v>145.32171</v>
      </c>
      <c r="O189" s="10">
        <v>134.69051999999999</v>
      </c>
      <c r="Q189" s="10">
        <v>1638.84</v>
      </c>
      <c r="R189" s="10">
        <v>1723.6</v>
      </c>
      <c r="S189" s="10">
        <v>1701.29</v>
      </c>
    </row>
    <row r="190" spans="1:19" x14ac:dyDescent="0.2">
      <c r="A190" s="9" t="s">
        <v>380</v>
      </c>
      <c r="B190" s="9" t="s">
        <v>381</v>
      </c>
      <c r="C190" s="9">
        <v>12</v>
      </c>
      <c r="D190" s="9">
        <v>0</v>
      </c>
      <c r="E190" s="9">
        <v>46</v>
      </c>
      <c r="F190" s="9">
        <v>58</v>
      </c>
      <c r="H190" s="10">
        <v>110</v>
      </c>
      <c r="I190" s="10">
        <v>0</v>
      </c>
      <c r="J190" s="10">
        <v>99.73</v>
      </c>
      <c r="K190" s="10">
        <v>101.31</v>
      </c>
      <c r="M190" s="10">
        <v>98.33</v>
      </c>
      <c r="N190" s="10">
        <v>114.77378999999999</v>
      </c>
      <c r="O190" s="10">
        <v>112.19436999999999</v>
      </c>
      <c r="Q190" s="10">
        <v>1015.92</v>
      </c>
      <c r="R190" s="10">
        <v>1231.74</v>
      </c>
      <c r="S190" s="10">
        <v>1197.8900000000001</v>
      </c>
    </row>
    <row r="191" spans="1:19" x14ac:dyDescent="0.2">
      <c r="A191" s="9" t="s">
        <v>382</v>
      </c>
      <c r="B191" s="9" t="s">
        <v>383</v>
      </c>
      <c r="C191" s="9">
        <v>0</v>
      </c>
      <c r="D191" s="9">
        <v>0</v>
      </c>
      <c r="E191" s="9">
        <v>41</v>
      </c>
      <c r="F191" s="9">
        <v>41</v>
      </c>
      <c r="H191" s="10">
        <v>0</v>
      </c>
      <c r="I191" s="10">
        <v>0</v>
      </c>
      <c r="J191" s="10">
        <v>96.81</v>
      </c>
      <c r="K191" s="10">
        <v>96.81</v>
      </c>
      <c r="M191" s="10">
        <v>0</v>
      </c>
      <c r="N191" s="10">
        <v>95.072869999999995</v>
      </c>
      <c r="O191" s="10">
        <v>95.072869999999995</v>
      </c>
      <c r="Q191" s="10">
        <v>0</v>
      </c>
      <c r="R191" s="10">
        <v>1046.3399999999999</v>
      </c>
      <c r="S191" s="10">
        <v>1046.3399999999999</v>
      </c>
    </row>
    <row r="192" spans="1:19" x14ac:dyDescent="0.2">
      <c r="A192" s="9" t="s">
        <v>384</v>
      </c>
      <c r="B192" s="9" t="s">
        <v>385</v>
      </c>
      <c r="C192" s="9">
        <v>12</v>
      </c>
      <c r="D192" s="9">
        <v>2</v>
      </c>
      <c r="E192" s="9">
        <v>93</v>
      </c>
      <c r="F192" s="9">
        <v>107</v>
      </c>
      <c r="H192" s="10">
        <v>107</v>
      </c>
      <c r="I192" s="10">
        <v>66.5</v>
      </c>
      <c r="J192" s="10">
        <v>89.41</v>
      </c>
      <c r="K192" s="10">
        <v>90.67</v>
      </c>
      <c r="M192" s="10">
        <v>148.85</v>
      </c>
      <c r="N192" s="10">
        <v>118.43041000000001</v>
      </c>
      <c r="O192" s="10">
        <v>121.53444999999999</v>
      </c>
      <c r="Q192" s="10">
        <v>1468.23</v>
      </c>
      <c r="R192" s="10">
        <v>1378.08</v>
      </c>
      <c r="S192" s="10">
        <v>1387.28</v>
      </c>
    </row>
    <row r="193" spans="1:19" x14ac:dyDescent="0.2">
      <c r="A193" s="9" t="s">
        <v>386</v>
      </c>
      <c r="B193" s="9" t="s">
        <v>387</v>
      </c>
      <c r="C193" s="9">
        <v>7</v>
      </c>
      <c r="D193" s="9">
        <v>0</v>
      </c>
      <c r="E193" s="9">
        <v>7</v>
      </c>
      <c r="F193" s="9">
        <v>14</v>
      </c>
      <c r="H193" s="10">
        <v>118.67</v>
      </c>
      <c r="I193" s="10">
        <v>0</v>
      </c>
      <c r="J193" s="10">
        <v>196.71</v>
      </c>
      <c r="K193" s="10">
        <v>160.69</v>
      </c>
      <c r="M193" s="10">
        <v>169</v>
      </c>
      <c r="N193" s="10">
        <v>243.42857000000001</v>
      </c>
      <c r="O193" s="10">
        <v>209.07692</v>
      </c>
      <c r="Q193" s="10">
        <v>1532.78</v>
      </c>
      <c r="R193" s="10">
        <v>1428.47</v>
      </c>
      <c r="S193" s="10">
        <v>1476.61</v>
      </c>
    </row>
    <row r="194" spans="1:19" x14ac:dyDescent="0.2">
      <c r="A194" s="9" t="s">
        <v>388</v>
      </c>
      <c r="B194" s="9" t="s">
        <v>389</v>
      </c>
      <c r="C194" s="9">
        <v>12</v>
      </c>
      <c r="D194" s="9">
        <v>0</v>
      </c>
      <c r="E194" s="9">
        <v>68</v>
      </c>
      <c r="F194" s="9">
        <v>80</v>
      </c>
      <c r="H194" s="10">
        <v>134.19999999999999</v>
      </c>
      <c r="I194" s="10">
        <v>0</v>
      </c>
      <c r="J194" s="10">
        <v>98.81</v>
      </c>
      <c r="K194" s="10">
        <v>103.66</v>
      </c>
      <c r="M194" s="10">
        <v>188.95</v>
      </c>
      <c r="N194" s="10">
        <v>137.10823000000002</v>
      </c>
      <c r="O194" s="10">
        <v>144.30848</v>
      </c>
      <c r="Q194" s="10">
        <v>1539.39</v>
      </c>
      <c r="R194" s="10">
        <v>1641.85</v>
      </c>
      <c r="S194" s="10">
        <v>1627.62</v>
      </c>
    </row>
    <row r="195" spans="1:19" x14ac:dyDescent="0.2">
      <c r="A195" s="1" t="s">
        <v>390</v>
      </c>
      <c r="B195" s="1" t="s">
        <v>391</v>
      </c>
      <c r="C195" s="9">
        <v>3</v>
      </c>
      <c r="D195" s="9">
        <v>0</v>
      </c>
      <c r="E195" s="9">
        <v>66</v>
      </c>
      <c r="F195" s="9">
        <v>69</v>
      </c>
      <c r="H195" s="10">
        <v>156.33000000000001</v>
      </c>
      <c r="I195" s="10">
        <v>0</v>
      </c>
      <c r="J195" s="10">
        <v>87.28</v>
      </c>
      <c r="K195" s="10">
        <v>91.51</v>
      </c>
      <c r="M195" s="10">
        <v>134.06667000000002</v>
      </c>
      <c r="N195" s="10">
        <v>61.127410000000005</v>
      </c>
      <c r="O195" s="10">
        <v>65.686109999999999</v>
      </c>
      <c r="Q195" s="10">
        <v>1072.04</v>
      </c>
      <c r="R195" s="10">
        <v>677.59</v>
      </c>
      <c r="S195" s="10">
        <v>702.24</v>
      </c>
    </row>
    <row r="196" spans="1:19" x14ac:dyDescent="0.2">
      <c r="A196" s="1" t="s">
        <v>392</v>
      </c>
      <c r="B196" s="1" t="s">
        <v>393</v>
      </c>
      <c r="C196" s="9">
        <v>1</v>
      </c>
      <c r="D196" s="9">
        <v>0</v>
      </c>
      <c r="E196" s="9">
        <v>37</v>
      </c>
      <c r="F196" s="9">
        <v>38</v>
      </c>
      <c r="H196" s="10">
        <v>78</v>
      </c>
      <c r="I196" s="10">
        <v>0</v>
      </c>
      <c r="J196" s="10">
        <v>86.9</v>
      </c>
      <c r="K196" s="10">
        <v>86.61</v>
      </c>
      <c r="M196" s="10">
        <v>0</v>
      </c>
      <c r="N196" s="10">
        <v>190.15204999999997</v>
      </c>
      <c r="O196" s="10">
        <v>188.79230999999999</v>
      </c>
      <c r="Q196" s="10">
        <v>0</v>
      </c>
      <c r="R196" s="10">
        <v>2356.37</v>
      </c>
      <c r="S196" s="10">
        <v>2341.5700000000002</v>
      </c>
    </row>
    <row r="197" spans="1:19" x14ac:dyDescent="0.2">
      <c r="A197" s="1" t="s">
        <v>394</v>
      </c>
      <c r="B197" s="1" t="s">
        <v>395</v>
      </c>
      <c r="C197" s="9">
        <v>0</v>
      </c>
      <c r="D197" s="9">
        <v>0</v>
      </c>
      <c r="E197" s="9">
        <v>18</v>
      </c>
      <c r="F197" s="9">
        <v>18</v>
      </c>
      <c r="H197" s="10">
        <v>0</v>
      </c>
      <c r="I197" s="10">
        <v>0</v>
      </c>
      <c r="J197" s="10">
        <v>97.94</v>
      </c>
      <c r="K197" s="10">
        <v>97.94</v>
      </c>
      <c r="M197" s="10">
        <v>0</v>
      </c>
      <c r="N197" s="10">
        <v>50.04824</v>
      </c>
      <c r="O197" s="10">
        <v>50.04824</v>
      </c>
      <c r="Q197" s="10">
        <v>0</v>
      </c>
      <c r="R197" s="10">
        <v>559.03</v>
      </c>
      <c r="S197" s="10">
        <v>559.03</v>
      </c>
    </row>
    <row r="198" spans="1:19" x14ac:dyDescent="0.2">
      <c r="A198" s="1" t="s">
        <v>396</v>
      </c>
      <c r="B198" s="1" t="s">
        <v>397</v>
      </c>
      <c r="C198" s="9">
        <v>2</v>
      </c>
      <c r="D198" s="9">
        <v>0</v>
      </c>
      <c r="E198" s="9">
        <v>11</v>
      </c>
      <c r="F198" s="9">
        <v>13</v>
      </c>
      <c r="H198" s="10">
        <v>80</v>
      </c>
      <c r="I198" s="10">
        <v>0</v>
      </c>
      <c r="J198" s="10">
        <v>82.4</v>
      </c>
      <c r="K198" s="10">
        <v>82</v>
      </c>
      <c r="M198" s="10">
        <v>0</v>
      </c>
      <c r="N198" s="10">
        <v>50.086220000000004</v>
      </c>
      <c r="O198" s="10">
        <v>47.9101</v>
      </c>
      <c r="Q198" s="10">
        <v>0</v>
      </c>
      <c r="R198" s="10">
        <v>659.1</v>
      </c>
      <c r="S198" s="10">
        <v>633.35</v>
      </c>
    </row>
    <row r="199" spans="1:19" x14ac:dyDescent="0.2">
      <c r="A199" s="1" t="s">
        <v>398</v>
      </c>
      <c r="B199" s="1" t="s">
        <v>399</v>
      </c>
      <c r="C199" s="9">
        <v>0</v>
      </c>
      <c r="D199" s="9">
        <v>0</v>
      </c>
      <c r="E199" s="9">
        <v>22</v>
      </c>
      <c r="F199" s="9">
        <v>22</v>
      </c>
      <c r="H199" s="10">
        <v>0</v>
      </c>
      <c r="I199" s="10">
        <v>0</v>
      </c>
      <c r="J199" s="10">
        <v>159.55000000000001</v>
      </c>
      <c r="K199" s="10">
        <v>159.55000000000001</v>
      </c>
      <c r="M199" s="10">
        <v>0</v>
      </c>
      <c r="N199" s="10">
        <v>294.89999999999998</v>
      </c>
      <c r="O199" s="10">
        <v>294.89999999999998</v>
      </c>
      <c r="Q199" s="10">
        <v>0</v>
      </c>
      <c r="R199" s="10">
        <v>1886.13</v>
      </c>
      <c r="S199" s="10">
        <v>1886.13</v>
      </c>
    </row>
    <row r="200" spans="1:19" x14ac:dyDescent="0.2">
      <c r="A200" s="1" t="s">
        <v>400</v>
      </c>
      <c r="B200" s="1" t="s">
        <v>401</v>
      </c>
      <c r="C200" s="9">
        <v>7</v>
      </c>
      <c r="D200" s="9">
        <v>1</v>
      </c>
      <c r="E200" s="9">
        <v>18</v>
      </c>
      <c r="F200" s="9">
        <v>26</v>
      </c>
      <c r="H200" s="10">
        <v>185</v>
      </c>
      <c r="I200" s="10">
        <v>0</v>
      </c>
      <c r="J200" s="10">
        <v>134.4</v>
      </c>
      <c r="K200" s="10">
        <v>151.27000000000001</v>
      </c>
      <c r="M200" s="10">
        <v>214.852</v>
      </c>
      <c r="N200" s="10">
        <v>154.12764999999999</v>
      </c>
      <c r="O200" s="10">
        <v>174.3691</v>
      </c>
      <c r="Q200" s="10">
        <v>1211.01</v>
      </c>
      <c r="R200" s="10">
        <v>1156.01</v>
      </c>
      <c r="S200" s="10">
        <v>1174.3399999999999</v>
      </c>
    </row>
    <row r="201" spans="1:19" x14ac:dyDescent="0.2">
      <c r="A201" s="1" t="s">
        <v>402</v>
      </c>
      <c r="B201" s="1" t="s">
        <v>403</v>
      </c>
      <c r="C201" s="9">
        <v>0</v>
      </c>
      <c r="D201" s="9">
        <v>0</v>
      </c>
      <c r="E201" s="9">
        <v>29</v>
      </c>
      <c r="F201" s="9">
        <v>29</v>
      </c>
      <c r="H201" s="10">
        <v>0</v>
      </c>
      <c r="I201" s="10">
        <v>0</v>
      </c>
      <c r="J201" s="10">
        <v>96.07</v>
      </c>
      <c r="K201" s="10">
        <v>96.07</v>
      </c>
      <c r="M201" s="10">
        <v>0</v>
      </c>
      <c r="N201" s="10">
        <v>121.42752</v>
      </c>
      <c r="O201" s="10">
        <v>121.42752</v>
      </c>
      <c r="Q201" s="10">
        <v>0</v>
      </c>
      <c r="R201" s="10">
        <v>1223.95</v>
      </c>
      <c r="S201" s="10">
        <v>1223.95</v>
      </c>
    </row>
    <row r="202" spans="1:19" x14ac:dyDescent="0.2">
      <c r="A202" s="1" t="s">
        <v>404</v>
      </c>
      <c r="B202" s="1" t="s">
        <v>405</v>
      </c>
      <c r="C202" s="9">
        <v>2</v>
      </c>
      <c r="D202" s="9">
        <v>0</v>
      </c>
      <c r="E202" s="9">
        <v>9</v>
      </c>
      <c r="F202" s="9">
        <v>11</v>
      </c>
      <c r="H202" s="10">
        <v>99.5</v>
      </c>
      <c r="I202" s="10">
        <v>0</v>
      </c>
      <c r="J202" s="10">
        <v>81.25</v>
      </c>
      <c r="K202" s="10">
        <v>84.9</v>
      </c>
      <c r="M202" s="10">
        <v>0</v>
      </c>
      <c r="N202" s="10">
        <v>121.1978</v>
      </c>
      <c r="O202" s="10">
        <v>133.13242000000002</v>
      </c>
      <c r="Q202" s="10">
        <v>0</v>
      </c>
      <c r="R202" s="10">
        <v>1665.33</v>
      </c>
      <c r="S202" s="10">
        <v>1705.67</v>
      </c>
    </row>
    <row r="203" spans="1:19" x14ac:dyDescent="0.2">
      <c r="A203" s="1" t="s">
        <v>406</v>
      </c>
      <c r="B203" s="1" t="s">
        <v>407</v>
      </c>
      <c r="C203" s="9">
        <v>6</v>
      </c>
      <c r="D203" s="9">
        <v>0</v>
      </c>
      <c r="E203" s="9">
        <v>177</v>
      </c>
      <c r="F203" s="9">
        <v>183</v>
      </c>
      <c r="H203" s="10">
        <v>84.8</v>
      </c>
      <c r="I203" s="10">
        <v>0</v>
      </c>
      <c r="J203" s="10">
        <v>93.88</v>
      </c>
      <c r="K203" s="10">
        <v>93.61</v>
      </c>
      <c r="M203" s="10">
        <v>101.2</v>
      </c>
      <c r="N203" s="10">
        <v>120.1437</v>
      </c>
      <c r="O203" s="10">
        <v>119.57311</v>
      </c>
      <c r="Q203" s="10">
        <v>1241.67</v>
      </c>
      <c r="R203" s="10">
        <v>1328.79</v>
      </c>
      <c r="S203" s="10">
        <v>1326.17</v>
      </c>
    </row>
    <row r="204" spans="1:19" x14ac:dyDescent="0.2">
      <c r="A204" s="1" t="s">
        <v>408</v>
      </c>
      <c r="B204" s="1" t="s">
        <v>409</v>
      </c>
      <c r="C204" s="9">
        <v>33</v>
      </c>
      <c r="D204" s="9">
        <v>1</v>
      </c>
      <c r="E204" s="9">
        <v>100</v>
      </c>
      <c r="F204" s="9">
        <v>134</v>
      </c>
      <c r="H204" s="10">
        <v>103.91</v>
      </c>
      <c r="I204" s="10">
        <v>85</v>
      </c>
      <c r="J204" s="10">
        <v>93.29</v>
      </c>
      <c r="K204" s="10">
        <v>95.9</v>
      </c>
      <c r="M204" s="10">
        <v>203.22360999999998</v>
      </c>
      <c r="N204" s="10">
        <v>135.31957999999997</v>
      </c>
      <c r="O204" s="10">
        <v>152.56504999999999</v>
      </c>
      <c r="Q204" s="10">
        <v>2016.57</v>
      </c>
      <c r="R204" s="10">
        <v>1464.87</v>
      </c>
      <c r="S204" s="10">
        <v>1604.98</v>
      </c>
    </row>
    <row r="205" spans="1:19" x14ac:dyDescent="0.2">
      <c r="A205" s="1" t="s">
        <v>410</v>
      </c>
      <c r="B205" s="1" t="s">
        <v>411</v>
      </c>
      <c r="C205" s="9">
        <v>5</v>
      </c>
      <c r="D205" s="9">
        <v>0</v>
      </c>
      <c r="E205" s="9">
        <v>20</v>
      </c>
      <c r="F205" s="9">
        <v>25</v>
      </c>
      <c r="H205" s="10">
        <v>202.75</v>
      </c>
      <c r="I205" s="10">
        <v>0</v>
      </c>
      <c r="J205" s="10">
        <v>114.46</v>
      </c>
      <c r="K205" s="10">
        <v>135.22999999999999</v>
      </c>
      <c r="M205" s="10">
        <v>185.34168</v>
      </c>
      <c r="N205" s="10">
        <v>146.23076999999998</v>
      </c>
      <c r="O205" s="10">
        <v>155.43333999999999</v>
      </c>
      <c r="Q205" s="10">
        <v>1150.8</v>
      </c>
      <c r="R205" s="10">
        <v>1354.9</v>
      </c>
      <c r="S205" s="10">
        <v>1306.8800000000001</v>
      </c>
    </row>
    <row r="206" spans="1:19" x14ac:dyDescent="0.2">
      <c r="A206" s="1" t="s">
        <v>412</v>
      </c>
      <c r="B206" s="1" t="s">
        <v>413</v>
      </c>
      <c r="C206" s="9">
        <v>2</v>
      </c>
      <c r="D206" s="9">
        <v>0</v>
      </c>
      <c r="E206" s="9">
        <v>37</v>
      </c>
      <c r="F206" s="9">
        <v>39</v>
      </c>
      <c r="H206" s="10">
        <v>89.5</v>
      </c>
      <c r="I206" s="10">
        <v>0</v>
      </c>
      <c r="J206" s="10">
        <v>89.59</v>
      </c>
      <c r="K206" s="10">
        <v>89.58</v>
      </c>
      <c r="M206" s="10">
        <v>0</v>
      </c>
      <c r="N206" s="10">
        <v>140.25474</v>
      </c>
      <c r="O206" s="10">
        <v>144.76131000000001</v>
      </c>
      <c r="Q206" s="10">
        <v>0</v>
      </c>
      <c r="R206" s="10">
        <v>1627.35</v>
      </c>
      <c r="S206" s="10">
        <v>1676.31</v>
      </c>
    </row>
    <row r="207" spans="1:19" x14ac:dyDescent="0.2">
      <c r="A207" s="1" t="s">
        <v>414</v>
      </c>
      <c r="B207" s="1" t="s">
        <v>415</v>
      </c>
      <c r="C207" s="9">
        <v>62</v>
      </c>
      <c r="D207" s="9">
        <v>0</v>
      </c>
      <c r="E207" s="9">
        <v>176</v>
      </c>
      <c r="F207" s="9">
        <v>238</v>
      </c>
      <c r="H207" s="10">
        <v>90.11</v>
      </c>
      <c r="I207" s="10">
        <v>0</v>
      </c>
      <c r="J207" s="10">
        <v>83.19</v>
      </c>
      <c r="K207" s="10">
        <v>85.03</v>
      </c>
      <c r="M207" s="10">
        <v>220.78677999999999</v>
      </c>
      <c r="N207" s="10">
        <v>202.41828000000001</v>
      </c>
      <c r="O207" s="10">
        <v>207.3271</v>
      </c>
      <c r="Q207" s="10">
        <v>2444.92</v>
      </c>
      <c r="R207" s="10">
        <v>2485.17</v>
      </c>
      <c r="S207" s="10">
        <v>2474.41</v>
      </c>
    </row>
    <row r="208" spans="1:19" x14ac:dyDescent="0.2">
      <c r="A208" s="1" t="s">
        <v>416</v>
      </c>
      <c r="B208" s="1" t="s">
        <v>417</v>
      </c>
      <c r="C208" s="9">
        <v>0</v>
      </c>
      <c r="D208" s="9">
        <v>0</v>
      </c>
      <c r="E208" s="9">
        <v>14</v>
      </c>
      <c r="F208" s="9">
        <v>14</v>
      </c>
      <c r="H208" s="10">
        <v>0</v>
      </c>
      <c r="I208" s="10">
        <v>0</v>
      </c>
      <c r="J208" s="10">
        <v>164.17</v>
      </c>
      <c r="K208" s="10">
        <v>164.17</v>
      </c>
      <c r="M208" s="10">
        <v>0</v>
      </c>
      <c r="N208" s="10">
        <v>268.51042000000001</v>
      </c>
      <c r="O208" s="10">
        <v>268.51042000000001</v>
      </c>
      <c r="Q208" s="10">
        <v>0</v>
      </c>
      <c r="R208" s="10">
        <v>1751.51</v>
      </c>
      <c r="S208" s="10">
        <v>1751.51</v>
      </c>
    </row>
    <row r="209" spans="1:19" x14ac:dyDescent="0.2">
      <c r="A209" s="1" t="s">
        <v>418</v>
      </c>
      <c r="B209" s="1" t="s">
        <v>419</v>
      </c>
      <c r="C209" s="9">
        <v>9</v>
      </c>
      <c r="D209" s="9">
        <v>0</v>
      </c>
      <c r="E209" s="9">
        <v>10</v>
      </c>
      <c r="F209" s="9">
        <v>19</v>
      </c>
      <c r="H209" s="10">
        <v>298.89</v>
      </c>
      <c r="I209" s="10">
        <v>0</v>
      </c>
      <c r="J209" s="10">
        <v>170.9</v>
      </c>
      <c r="K209" s="10">
        <v>231.53</v>
      </c>
      <c r="M209" s="10">
        <v>193.40474</v>
      </c>
      <c r="N209" s="10">
        <v>174.99067000000002</v>
      </c>
      <c r="O209" s="10">
        <v>183.71312</v>
      </c>
      <c r="Q209" s="10">
        <v>647.24</v>
      </c>
      <c r="R209" s="10">
        <v>1048.1600000000001</v>
      </c>
      <c r="S209" s="10">
        <v>858.25</v>
      </c>
    </row>
    <row r="210" spans="1:19" x14ac:dyDescent="0.2">
      <c r="A210" s="1" t="s">
        <v>420</v>
      </c>
      <c r="B210" s="1" t="s">
        <v>421</v>
      </c>
      <c r="C210" s="9">
        <v>25</v>
      </c>
      <c r="D210" s="9">
        <v>3</v>
      </c>
      <c r="E210" s="9">
        <v>56</v>
      </c>
      <c r="F210" s="9">
        <v>84</v>
      </c>
      <c r="H210" s="10">
        <v>112.52</v>
      </c>
      <c r="I210" s="10">
        <v>97</v>
      </c>
      <c r="J210" s="10">
        <v>88.52</v>
      </c>
      <c r="K210" s="10">
        <v>96.75</v>
      </c>
      <c r="M210" s="10">
        <v>186.37717999999998</v>
      </c>
      <c r="N210" s="10">
        <v>151.14267000000001</v>
      </c>
      <c r="O210" s="10">
        <v>165.58304000000001</v>
      </c>
      <c r="Q210" s="10">
        <v>1780.33</v>
      </c>
      <c r="R210" s="10">
        <v>1694.51</v>
      </c>
      <c r="S210" s="10">
        <v>1729.68</v>
      </c>
    </row>
    <row r="211" spans="1:19" x14ac:dyDescent="0.2">
      <c r="A211" s="1" t="s">
        <v>422</v>
      </c>
      <c r="B211" s="1" t="s">
        <v>423</v>
      </c>
      <c r="C211" s="9">
        <v>6</v>
      </c>
      <c r="D211" s="9">
        <v>0</v>
      </c>
      <c r="E211" s="9">
        <v>22</v>
      </c>
      <c r="F211" s="9">
        <v>28</v>
      </c>
      <c r="H211" s="10">
        <v>84.33</v>
      </c>
      <c r="I211" s="10">
        <v>0</v>
      </c>
      <c r="J211" s="10">
        <v>107.14</v>
      </c>
      <c r="K211" s="10">
        <v>102.25</v>
      </c>
      <c r="M211" s="10">
        <v>58.583330000000004</v>
      </c>
      <c r="N211" s="10">
        <v>103.67086</v>
      </c>
      <c r="O211" s="10">
        <v>93.651409999999998</v>
      </c>
      <c r="Q211" s="10">
        <v>613.97</v>
      </c>
      <c r="R211" s="10">
        <v>985.27</v>
      </c>
      <c r="S211" s="10">
        <v>902.76</v>
      </c>
    </row>
    <row r="212" spans="1:19" x14ac:dyDescent="0.2">
      <c r="A212" s="1" t="s">
        <v>424</v>
      </c>
      <c r="B212" s="1" t="s">
        <v>425</v>
      </c>
      <c r="C212" s="9">
        <v>1</v>
      </c>
      <c r="D212" s="9">
        <v>0</v>
      </c>
      <c r="E212" s="9">
        <v>7</v>
      </c>
      <c r="F212" s="9">
        <v>8</v>
      </c>
      <c r="H212" s="10">
        <v>0</v>
      </c>
      <c r="I212" s="10">
        <v>0</v>
      </c>
      <c r="J212" s="10">
        <v>131.19999999999999</v>
      </c>
      <c r="K212" s="10">
        <v>131.19999999999999</v>
      </c>
      <c r="M212" s="10">
        <v>0</v>
      </c>
      <c r="N212" s="10">
        <v>249.2</v>
      </c>
      <c r="O212" s="10">
        <v>249.2</v>
      </c>
      <c r="Q212" s="10">
        <v>0</v>
      </c>
      <c r="R212" s="10">
        <v>2040.28</v>
      </c>
      <c r="S212" s="10">
        <v>2040.28</v>
      </c>
    </row>
    <row r="213" spans="1:19" x14ac:dyDescent="0.2">
      <c r="A213" s="1" t="s">
        <v>426</v>
      </c>
      <c r="B213" s="1" t="s">
        <v>427</v>
      </c>
      <c r="C213" s="9">
        <v>11</v>
      </c>
      <c r="D213" s="9">
        <v>0</v>
      </c>
      <c r="E213" s="9">
        <v>245</v>
      </c>
      <c r="F213" s="9">
        <v>256</v>
      </c>
      <c r="H213" s="10">
        <v>121.3</v>
      </c>
      <c r="I213" s="10">
        <v>0</v>
      </c>
      <c r="J213" s="10">
        <v>90.66</v>
      </c>
      <c r="K213" s="10">
        <v>92.01</v>
      </c>
      <c r="M213" s="10">
        <v>208.5001</v>
      </c>
      <c r="N213" s="10">
        <v>183.64737</v>
      </c>
      <c r="O213" s="10">
        <v>184.75193999999999</v>
      </c>
      <c r="Q213" s="10">
        <v>1964.59</v>
      </c>
      <c r="R213" s="10">
        <v>2089.52</v>
      </c>
      <c r="S213" s="10">
        <v>2083.9699999999998</v>
      </c>
    </row>
    <row r="214" spans="1:19" x14ac:dyDescent="0.2">
      <c r="A214" s="1" t="s">
        <v>428</v>
      </c>
      <c r="B214" s="1" t="s">
        <v>429</v>
      </c>
      <c r="C214" s="9">
        <v>3</v>
      </c>
      <c r="D214" s="9">
        <v>0</v>
      </c>
      <c r="E214" s="9">
        <v>99</v>
      </c>
      <c r="F214" s="9">
        <v>102</v>
      </c>
      <c r="H214" s="10">
        <v>127.33</v>
      </c>
      <c r="I214" s="10">
        <v>0</v>
      </c>
      <c r="J214" s="10">
        <v>75.52</v>
      </c>
      <c r="K214" s="10">
        <v>77.209999999999994</v>
      </c>
      <c r="M214" s="10">
        <v>202.47710999999998</v>
      </c>
      <c r="N214" s="10">
        <v>138.15682999999999</v>
      </c>
      <c r="O214" s="10">
        <v>140.40055999999998</v>
      </c>
      <c r="Q214" s="10">
        <v>1517.24</v>
      </c>
      <c r="R214" s="10">
        <v>2035.79</v>
      </c>
      <c r="S214" s="10">
        <v>2017.7</v>
      </c>
    </row>
    <row r="215" spans="1:19" x14ac:dyDescent="0.2">
      <c r="A215" s="1" t="s">
        <v>430</v>
      </c>
      <c r="B215" s="1" t="s">
        <v>431</v>
      </c>
      <c r="C215" s="9">
        <v>0</v>
      </c>
      <c r="D215" s="9">
        <v>0</v>
      </c>
      <c r="E215" s="9">
        <v>22</v>
      </c>
      <c r="F215" s="9">
        <v>22</v>
      </c>
      <c r="H215" s="10">
        <v>0</v>
      </c>
      <c r="I215" s="10">
        <v>0</v>
      </c>
      <c r="J215" s="10">
        <v>113.05</v>
      </c>
      <c r="K215" s="10">
        <v>113.05</v>
      </c>
      <c r="M215" s="10">
        <v>0</v>
      </c>
      <c r="N215" s="10">
        <v>212.36948999999998</v>
      </c>
      <c r="O215" s="10">
        <v>212.36948999999998</v>
      </c>
      <c r="Q215" s="10">
        <v>0</v>
      </c>
      <c r="R215" s="10">
        <v>2115.5300000000002</v>
      </c>
      <c r="S215" s="10">
        <v>2115.5300000000002</v>
      </c>
    </row>
    <row r="216" spans="1:19" x14ac:dyDescent="0.2">
      <c r="A216" s="1" t="s">
        <v>432</v>
      </c>
      <c r="B216" s="1" t="s">
        <v>433</v>
      </c>
      <c r="C216" s="9">
        <v>0</v>
      </c>
      <c r="D216" s="9">
        <v>0</v>
      </c>
      <c r="E216" s="9">
        <v>54</v>
      </c>
      <c r="F216" s="9">
        <v>54</v>
      </c>
      <c r="H216" s="10">
        <v>0</v>
      </c>
      <c r="I216" s="10">
        <v>0</v>
      </c>
      <c r="J216" s="10">
        <v>114.36</v>
      </c>
      <c r="K216" s="10">
        <v>114.36</v>
      </c>
      <c r="M216" s="10">
        <v>0</v>
      </c>
      <c r="N216" s="10">
        <v>291.35275000000001</v>
      </c>
      <c r="O216" s="10">
        <v>291.35275000000001</v>
      </c>
      <c r="Q216" s="10">
        <v>0</v>
      </c>
      <c r="R216" s="10">
        <v>2732.98</v>
      </c>
      <c r="S216" s="10">
        <v>2732.98</v>
      </c>
    </row>
    <row r="217" spans="1:19" s="19" customFormat="1" x14ac:dyDescent="0.2">
      <c r="A217" s="15"/>
      <c r="B217" s="16" t="s">
        <v>11</v>
      </c>
      <c r="C217" s="15">
        <v>331</v>
      </c>
      <c r="D217" s="15">
        <v>4</v>
      </c>
      <c r="E217" s="15">
        <v>1555</v>
      </c>
      <c r="F217" s="17">
        <v>1890</v>
      </c>
      <c r="G217" s="15"/>
      <c r="H217" s="18">
        <v>128.19</v>
      </c>
      <c r="I217" s="18">
        <v>87.67</v>
      </c>
      <c r="J217" s="18">
        <v>124.13</v>
      </c>
      <c r="K217" s="18">
        <v>124.69</v>
      </c>
      <c r="L217" s="15"/>
      <c r="M217" s="18">
        <v>153.63164</v>
      </c>
      <c r="N217" s="18">
        <v>167.07204000000002</v>
      </c>
      <c r="O217" s="18">
        <v>164.98092000000003</v>
      </c>
      <c r="P217" s="15"/>
      <c r="Q217" s="18">
        <v>1338.68</v>
      </c>
      <c r="R217" s="18">
        <v>1482.08</v>
      </c>
      <c r="S217" s="18">
        <v>1459.77</v>
      </c>
    </row>
    <row r="219" spans="1:19" x14ac:dyDescent="0.2">
      <c r="B219" s="14" t="s">
        <v>12</v>
      </c>
    </row>
  </sheetData>
  <phoneticPr fontId="5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4t19_acum</vt:lpstr>
      <vt:lpstr>3t19_acum</vt:lpstr>
      <vt:lpstr>2t19_acum</vt:lpstr>
      <vt:lpstr>1t19_acum</vt:lpstr>
    </vt:vector>
  </TitlesOfParts>
  <Company>Departament de Medi Ambient i Habitatge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Galan Valls, Aitor</cp:lastModifiedBy>
  <dcterms:created xsi:type="dcterms:W3CDTF">2015-05-19T08:29:00Z</dcterms:created>
  <dcterms:modified xsi:type="dcterms:W3CDTF">2020-02-25T10:59:38Z</dcterms:modified>
</cp:coreProperties>
</file>